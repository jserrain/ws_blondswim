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rocicle" sheetId="1" state="visible" r:id="rId3"/>
    <sheet name="Microcicles" sheetId="2" state="visible" r:id="rId4"/>
    <sheet name="Sept" sheetId="3" state="visible" r:id="rId5"/>
    <sheet name="Estructura de sessió" sheetId="4" state="visible" r:id="rId6"/>
    <sheet name="Ritmes" sheetId="5" state="visible" r:id="rId7"/>
    <sheet name="Notes i supòsi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<sst xmlns="http://schemas.openxmlformats.org/spreadsheetml/2006/main" count="628" uniqueCount="382">
  <si>
    <t xml:space="preserve">Planificació Primer Macrocicle 2026-27 — Jep</t>
  </si>
  <si>
    <t xml:space="preserve">Proves objectiu A: 50 Papallona, 100 Lliure, 100 Estils</t>
  </si>
  <si>
    <t xml:space="preserve">Sprint de papallona + mig-fons de lliure + estils. Prioritat: base aeròbica sòlida + especificitat en fatiga.</t>
  </si>
  <si>
    <t xml:space="preserve">21/09/2026 - 07/02/2027  |  Objectiu final: Campionat Catalunya Hivern + Campeonato España Invierno (doble pic)</t>
  </si>
  <si>
    <t xml:space="preserve">Mesocicle</t>
  </si>
  <si>
    <t xml:space="preserve">Setmanes</t>
  </si>
  <si>
    <t xml:space="preserve">Dates</t>
  </si>
  <si>
    <t xml:space="preserve">Fase / Objectiu</t>
  </si>
  <si>
    <t xml:space="preserve">Metodologia dominant</t>
  </si>
  <si>
    <t xml:space="preserve">Volum setmanal (rang)</t>
  </si>
  <si>
    <t xml:space="preserve">Volum mitjà previst (m)</t>
  </si>
  <si>
    <t xml:space="preserve">Tancament (control/objectiu)</t>
  </si>
  <si>
    <t xml:space="preserve">M1 - Base</t>
  </si>
  <si>
    <t xml:space="preserve">1-4</t>
  </si>
  <si>
    <t xml:space="preserve">21/09 - 18/10/2026</t>
  </si>
  <si>
    <t xml:space="preserve">Base aeròbica general i tècnica. Familiarització amb el test CSS.</t>
  </si>
  <si>
    <t xml:space="preserve">Escola Australiana (volum, base aeròbica alta, tècnica crol i papallona).</t>
  </si>
  <si>
    <t xml:space="preserve">15.500 - 17.000 m</t>
  </si>
  <si>
    <t xml:space="preserve">Control B: Etapa Barceloneta (17/10)</t>
  </si>
  <si>
    <t xml:space="preserve">M2 - Desenvolupament I</t>
  </si>
  <si>
    <t xml:space="preserve">5-7</t>
  </si>
  <si>
    <t xml:space="preserve">19/10 - 08/11/2026</t>
  </si>
  <si>
    <t xml:space="preserve">Consolidació aeròbica i introducció de treball llindar/ritme de cursa.</t>
  </si>
  <si>
    <t xml:space="preserve">Australiana + llindar aeròbic. Introducció de ritme de cursa al 50 Papallona.</t>
  </si>
  <si>
    <t xml:space="preserve">13.000 - 15.500 m</t>
  </si>
  <si>
    <t xml:space="preserve">Control B: Memorial Cuesta (07/11)</t>
  </si>
  <si>
    <t xml:space="preserve">M3 - Desenvolupament II / Construcció</t>
  </si>
  <si>
    <t xml:space="preserve">8-12</t>
  </si>
  <si>
    <t xml:space="preserve">09/11 - 13/12/2026</t>
  </si>
  <si>
    <t xml:space="preserve">Construcció específica: augment de treball a ritme de cursa i qualitat.</t>
  </si>
  <si>
    <t xml:space="preserve">Bowman (main sets que simulen la 2a meitat del 100 Lliure) + USRPT per al 50 Pap.</t>
  </si>
  <si>
    <t xml:space="preserve">Control C: Gran Premi Marrugat (12/12)</t>
  </si>
  <si>
    <t xml:space="preserve">M4 - Específic / Pre-competitiu</t>
  </si>
  <si>
    <t xml:space="preserve">13-16</t>
  </si>
  <si>
    <t xml:space="preserve">14/12/2026 - 10/01/2027</t>
  </si>
  <si>
    <t xml:space="preserve">Treball específic de ritme de cursa; descàrrega activa a Nadal/Cap d'Any; test intern de comprovació.</t>
  </si>
  <si>
    <t xml:space="preserve">Bowman (simulació de fatiga de cursa 100 Lliure) + USRPT (ritme exacte 50 Pap).</t>
  </si>
  <si>
    <t xml:space="preserve">12.000 - 14.000 m</t>
  </si>
  <si>
    <t xml:space="preserve">Test intern d'avaluació (setmana 16)</t>
  </si>
  <si>
    <t xml:space="preserve">M5 - Competitiu / Doble Pic</t>
  </si>
  <si>
    <t xml:space="preserve">17-20</t>
  </si>
  <si>
    <t xml:space="preserve">11/01 - 07/02/2027</t>
  </si>
  <si>
    <t xml:space="preserve">Doble taper: Campionat Catalunya (pic 1) i Campeonato España (pic 2), amb re-càrrega breu entremig.</t>
  </si>
  <si>
    <t xml:space="preserve">Taper: manteniment del ritme de cursa, reducció de volum.</t>
  </si>
  <si>
    <t xml:space="preserve">12.000 - 13.500 m</t>
  </si>
  <si>
    <t xml:space="preserve">Objectiu A: Campionat Catalunya + Campeonato España</t>
  </si>
  <si>
    <t xml:space="preserve">Volum mitjà de tot el macrocicle (m):</t>
  </si>
  <si>
    <t xml:space="preserve">Nombre de setmanes de qualitat (Dc+Ds):</t>
  </si>
  <si>
    <t xml:space="preserve">Nombre de setmanes amb competició/test oficial:</t>
  </si>
  <si>
    <t xml:space="preserve">Planificació setmana a setmana — Jep</t>
  </si>
  <si>
    <t xml:space="preserve">Setmana</t>
  </si>
  <si>
    <t xml:space="preserve">Meso</t>
  </si>
  <si>
    <t xml:space="preserve">Tipus de setmana</t>
  </si>
  <si>
    <t xml:space="preserve">Volum objectiu (m)</t>
  </si>
  <si>
    <t xml:space="preserve">Dies qualitat (Dc+Ds)</t>
  </si>
  <si>
    <t xml:space="preserve">Test CSS (repetició 6-8 set.)</t>
  </si>
  <si>
    <t xml:space="preserve">Competició / Test oficial</t>
  </si>
  <si>
    <t xml:space="preserve">Test avaluació d'assoliment</t>
  </si>
  <si>
    <t xml:space="preserve">Focus específic — Jep</t>
  </si>
  <si>
    <t xml:space="preserve">21-27/09/2026</t>
  </si>
  <si>
    <t xml:space="preserve">M1</t>
  </si>
  <si>
    <t xml:space="preserve">Càrrega + Test CSS</t>
  </si>
  <si>
    <t xml:space="preserve">No</t>
  </si>
  <si>
    <t xml:space="preserve">Test CSS #1 (Dijous 24/09/2026) - línia base</t>
  </si>
  <si>
    <t xml:space="preserve">Test CSS - Dijous 24/09/2026 (determina zones A1/A2/A3)</t>
  </si>
  <si>
    <t xml:space="preserve">-</t>
  </si>
  <si>
    <t xml:space="preserve">Base aeròbica alta (Australiana). Tècnica crol i papallona. Test CSS dijous.</t>
  </si>
  <si>
    <t xml:space="preserve">28/09-04/10/2026</t>
  </si>
  <si>
    <t xml:space="preserve">Càrrega</t>
  </si>
  <si>
    <t xml:space="preserve">Consolidació aeròbica. Volum de crol per a base del 100 Lliure.</t>
  </si>
  <si>
    <t xml:space="preserve">05-11/10/2026</t>
  </si>
  <si>
    <t xml:space="preserve">Qualitat (Dc + Ds)</t>
  </si>
  <si>
    <t xml:space="preserve">Sí</t>
  </si>
  <si>
    <t xml:space="preserve">Qualitat: llindar aeròbic + introducció ritme 50 Pap.</t>
  </si>
  <si>
    <t xml:space="preserve">12-18/10/2026</t>
  </si>
  <si>
    <t xml:space="preserve">Descàrrega + Competició Control B</t>
  </si>
  <si>
    <t xml:space="preserve">Etapa Barceloneta - Dissabte 17/10/2026 (Classe B)</t>
  </si>
  <si>
    <t xml:space="preserve">Control extern (resultat de la cursa)</t>
  </si>
  <si>
    <t xml:space="preserve">Descàrrega + Etapa Barceloneta com a control (100 Lliure / 50 Pap).</t>
  </si>
  <si>
    <t xml:space="preserve">19-25/10/2026</t>
  </si>
  <si>
    <t xml:space="preserve">M2</t>
  </si>
  <si>
    <t xml:space="preserve">Represa de càrrega aeròbica.</t>
  </si>
  <si>
    <t xml:space="preserve">26/10-01/11/2026</t>
  </si>
  <si>
    <t xml:space="preserve">Qualitat: sèries a ritme de cursa 50 Pap + resistència a la velocitat 100 Lliure.</t>
  </si>
  <si>
    <t xml:space="preserve">02-08/11/2026</t>
  </si>
  <si>
    <t xml:space="preserve">Descàrrega + Competició Control B + Test CSS</t>
  </si>
  <si>
    <t xml:space="preserve">Test CSS #2 (Dijous, +6 set.) - recalibratge previ a M3</t>
  </si>
  <si>
    <t xml:space="preserve">Memorial Cuesta - Dissabte 07/11/2026 (Classe B)</t>
  </si>
  <si>
    <t xml:space="preserve">Descàrrega + Memorial Cuesta com a control.</t>
  </si>
  <si>
    <t xml:space="preserve">09-15/11/2026</t>
  </si>
  <si>
    <t xml:space="preserve">M3</t>
  </si>
  <si>
    <t xml:space="preserve">Construcció: main sets Bowman (100 Lliure amb fatiga simulada).</t>
  </si>
  <si>
    <t xml:space="preserve">16-22/11/2026</t>
  </si>
  <si>
    <t xml:space="preserve">Construcció: consolidació ritme 50 Pap + IM.</t>
  </si>
  <si>
    <t xml:space="preserve">23-29/11/2026</t>
  </si>
  <si>
    <t xml:space="preserve">Qualitat: USRPT 50 Pap + sèries llindar 100 Lliure.</t>
  </si>
  <si>
    <t xml:space="preserve">30/11-06/12/2026</t>
  </si>
  <si>
    <t xml:space="preserve">Càrrega (transició)</t>
  </si>
  <si>
    <t xml:space="preserve">Transició cap al control C: reducció progressiva de volum.</t>
  </si>
  <si>
    <t xml:space="preserve">07-13/12/2026</t>
  </si>
  <si>
    <t xml:space="preserve">Descàrrega + Competició Control C</t>
  </si>
  <si>
    <t xml:space="preserve">Gran Premi Marrugat - Dissabte 12/12/2026 (Classe C)</t>
  </si>
  <si>
    <t xml:space="preserve">Descàrrega + Gran Premi Marrugat com a control (100 Lliure / 50 Pap).</t>
  </si>
  <si>
    <t xml:space="preserve">14-20/12/2026</t>
  </si>
  <si>
    <t xml:space="preserve">M4</t>
  </si>
  <si>
    <t xml:space="preserve">Càrrega específica + Test CSS</t>
  </si>
  <si>
    <t xml:space="preserve">Test CSS #3 (Dijous, +6 set.) - recalibratge previ al bloc específic (M4)</t>
  </si>
  <si>
    <t xml:space="preserve">Càrrega específica: ritme exacte 50 Pap + sèries de fatiga 100 Lliure.</t>
  </si>
  <si>
    <t xml:space="preserve">21-27/12/2026</t>
  </si>
  <si>
    <t xml:space="preserve">Nadal - Descàrrega activa</t>
  </si>
  <si>
    <t xml:space="preserve">Nadal: manteniment aeròbic, volum reduït.</t>
  </si>
  <si>
    <t xml:space="preserve">28/12/2026-03/01/2027</t>
  </si>
  <si>
    <t xml:space="preserve">Cap d'Any - Represa progressiva</t>
  </si>
  <si>
    <t xml:space="preserve">Represa progressiva post-festes.</t>
  </si>
  <si>
    <t xml:space="preserve">04-10/01/2027</t>
  </si>
  <si>
    <t xml:space="preserve">Càrrega específica + Qualitat</t>
  </si>
  <si>
    <t xml:space="preserve">simulacre 100 Lliure a ritme objectiu + 50 Pap màxim</t>
  </si>
  <si>
    <t xml:space="preserve">Qualitat + Test intern: simulacre 100 Lliure a ritme objectiu + 50 Pap màxim.</t>
  </si>
  <si>
    <t xml:space="preserve">11-17/01/2027</t>
  </si>
  <si>
    <t xml:space="preserve">M5</t>
  </si>
  <si>
    <t xml:space="preserve">Taper + Competició A (Pic 1)</t>
  </si>
  <si>
    <t xml:space="preserve">Campionat Catalunya Hivern - 16-17/01/2027 (Classe A)</t>
  </si>
  <si>
    <t xml:space="preserve">Taper: Campionat Catalunya - objectiu 50 Pap / 100 Lliure / 100 IM.</t>
  </si>
  <si>
    <t xml:space="preserve">18-24/01/2027</t>
  </si>
  <si>
    <t xml:space="preserve">Recuperació + re-càrrega curta</t>
  </si>
  <si>
    <t xml:space="preserve">Recuperació activa + re-càrrega curta.</t>
  </si>
  <si>
    <t xml:space="preserve">25-31/01/2027</t>
  </si>
  <si>
    <t xml:space="preserve">Ajust específic + mini-taper</t>
  </si>
  <si>
    <t xml:space="preserve">Mini-taper: ajust final de ritmes.</t>
  </si>
  <si>
    <t xml:space="preserve">01-07/02/2027</t>
  </si>
  <si>
    <t xml:space="preserve">Taper final + Competició A (Pic 2)</t>
  </si>
  <si>
    <t xml:space="preserve">Campeonato España Invierno - 04-07/02/2027 (Classe A)</t>
  </si>
  <si>
    <t xml:space="preserve">Taper final: Campeonato España - objectiu 50 Pap / 100 Lliure / 100 IM.</t>
  </si>
  <si>
    <t xml:space="preserve">Setembre 2026 — Jep</t>
  </si>
  <si>
    <t xml:space="preserve">Setmana 1 (21-27/09/2026) — Mesocicle M1, setmana de Càrrega + Test CSS (dijous)</t>
  </si>
  <si>
    <t xml:space="preserve">Setmana 1</t>
  </si>
  <si>
    <t xml:space="preserve">Dia</t>
  </si>
  <si>
    <t xml:space="preserve">Treball</t>
  </si>
  <si>
    <t xml:space="preserve">Execució</t>
  </si>
  <si>
    <t xml:space="preserve">Descans</t>
  </si>
  <si>
    <t xml:space="preserve">Material</t>
  </si>
  <si>
    <t xml:space="preserve">Intensitat</t>
  </si>
  <si>
    <t xml:space="preserve">Objectiu</t>
  </si>
  <si>
    <t xml:space="preserve">Temps (min)</t>
  </si>
  <si>
    <t xml:space="preserve">Volum (m)</t>
  </si>
  <si>
    <t xml:space="preserve">Dilluns 21/09</t>
  </si>
  <si>
    <t xml:space="preserve">400</t>
  </si>
  <si>
    <t xml:space="preserve">Crol suau + Ei</t>
  </si>
  <si>
    <t xml:space="preserve">A1</t>
  </si>
  <si>
    <t xml:space="preserve">Escalfament</t>
  </si>
  <si>
    <t xml:space="preserve">8x50</t>
  </si>
  <si>
    <t xml:space="preserve">Crol amb Pales petites (focus captura / colze alt)</t>
  </si>
  <si>
    <t xml:space="preserve">c/1'</t>
  </si>
  <si>
    <t xml:space="preserve">Pales petites</t>
  </si>
  <si>
    <t xml:space="preserve">Tècnica captura Crol</t>
  </si>
  <si>
    <t xml:space="preserve">6x25</t>
  </si>
  <si>
    <t xml:space="preserve">Subaquàtic Crol: sortida + primeres braçades</t>
  </si>
  <si>
    <t xml:space="preserve">c/45"</t>
  </si>
  <si>
    <t xml:space="preserve">Aletes</t>
  </si>
  <si>
    <t xml:space="preserve">Tècnica</t>
  </si>
  <si>
    <t xml:space="preserve">Subaquàtic Crol (5è estil)</t>
  </si>
  <si>
    <t xml:space="preserve">10x200</t>
  </si>
  <si>
    <t xml:space="preserve">Crol r/4</t>
  </si>
  <si>
    <t xml:space="preserve">c/3'15"</t>
  </si>
  <si>
    <t xml:space="preserve">Aeròbic Crol</t>
  </si>
  <si>
    <t xml:space="preserve">6x50</t>
  </si>
  <si>
    <t xml:space="preserve">Papallona suau (introducció tècnica)</t>
  </si>
  <si>
    <t xml:space="preserve">c/1'15"</t>
  </si>
  <si>
    <t xml:space="preserve">Pull-buoy</t>
  </si>
  <si>
    <t xml:space="preserve">Tècnica base Papallona</t>
  </si>
  <si>
    <t xml:space="preserve">300</t>
  </si>
  <si>
    <t xml:space="preserve">Ei suau</t>
  </si>
  <si>
    <t xml:space="preserve">A0</t>
  </si>
  <si>
    <t xml:space="preserve">Tornada a la calma</t>
  </si>
  <si>
    <t xml:space="preserve">Total</t>
  </si>
  <si>
    <t xml:space="preserve">Dimarts 22/09</t>
  </si>
  <si>
    <t xml:space="preserve">Crol + Esquena suau</t>
  </si>
  <si>
    <t xml:space="preserve">Crol amb Aletes (ritme i patada)</t>
  </si>
  <si>
    <t xml:space="preserve">Eficiència Crol</t>
  </si>
  <si>
    <t xml:space="preserve">4x50</t>
  </si>
  <si>
    <t xml:space="preserve">Sortida + 15m subaquàtic Crol</t>
  </si>
  <si>
    <t xml:space="preserve">Subaquàtic / Sortides</t>
  </si>
  <si>
    <t xml:space="preserve">14x100</t>
  </si>
  <si>
    <t xml:space="preserve">Crol r/4 (2 A1 + 1 A2 rotatiu)</t>
  </si>
  <si>
    <t xml:space="preserve">c/1'50"</t>
  </si>
  <si>
    <t xml:space="preserve">A1/A2</t>
  </si>
  <si>
    <t xml:space="preserve">Papallona tècnica (Pull-buoy)</t>
  </si>
  <si>
    <t xml:space="preserve">Tècnica Papallona</t>
  </si>
  <si>
    <t xml:space="preserve">Dimecres 23/09</t>
  </si>
  <si>
    <t xml:space="preserve">Crol + Ei</t>
  </si>
  <si>
    <t xml:space="preserve">Crol amb Pales grans (força de braçada)</t>
  </si>
  <si>
    <t xml:space="preserve">Pales grans</t>
  </si>
  <si>
    <t xml:space="preserve">A2</t>
  </si>
  <si>
    <t xml:space="preserve">Força específica Crol</t>
  </si>
  <si>
    <t xml:space="preserve">Subaquàtic Papallona (introducció ones)</t>
  </si>
  <si>
    <t xml:space="preserve">c/40"</t>
  </si>
  <si>
    <t xml:space="preserve">Subaquàtic (5è estil)</t>
  </si>
  <si>
    <t xml:space="preserve">12x150</t>
  </si>
  <si>
    <t xml:space="preserve">Crol r/3</t>
  </si>
  <si>
    <t xml:space="preserve">c/2'30"</t>
  </si>
  <si>
    <t xml:space="preserve">Papallona A2 progressiu</t>
  </si>
  <si>
    <t xml:space="preserve">Qualitat aeròbica Papallona</t>
  </si>
  <si>
    <t xml:space="preserve">4x100</t>
  </si>
  <si>
    <t xml:space="preserve">Estils (IM), ritme suau</t>
  </si>
  <si>
    <t xml:space="preserve">c/2'</t>
  </si>
  <si>
    <t xml:space="preserve">Tècnica canvis IM</t>
  </si>
  <si>
    <t xml:space="preserve">Dijous 24/09</t>
  </si>
  <si>
    <t xml:space="preserve">600</t>
  </si>
  <si>
    <t xml:space="preserve">Crol + Ei progressiu</t>
  </si>
  <si>
    <t xml:space="preserve">Activació progressiva cap a A3</t>
  </si>
  <si>
    <t xml:space="preserve">A2/A3</t>
  </si>
  <si>
    <t xml:space="preserve">Activació pre-test</t>
  </si>
  <si>
    <t xml:space="preserve">TEST CSS (1/2): 400m Crol a MÀXIM esforç constant</t>
  </si>
  <si>
    <t xml:space="preserve">Màxim</t>
  </si>
  <si>
    <t xml:space="preserve">Test CSS - determina zones A1/A2/A3</t>
  </si>
  <si>
    <t xml:space="preserve">200</t>
  </si>
  <si>
    <t xml:space="preserve">Recuperació activa molt suau</t>
  </si>
  <si>
    <t xml:space="preserve">15-20' pausa</t>
  </si>
  <si>
    <t xml:space="preserve">Recuperació entre els dos tests</t>
  </si>
  <si>
    <t xml:space="preserve">TEST CSS (2/2): 200m Crol a MÀXIM esforç constant</t>
  </si>
  <si>
    <t xml:space="preserve">Nado suau (estil objectiu), tècnica/relaxació</t>
  </si>
  <si>
    <t xml:space="preserve">Tornada tècnica</t>
  </si>
  <si>
    <t xml:space="preserve">Ei suau + estirament a l'aigua</t>
  </si>
  <si>
    <t xml:space="preserve">Divendres 25/09</t>
  </si>
  <si>
    <t xml:space="preserve">Descans total</t>
  </si>
  <si>
    <t xml:space="preserve">Dissabte 26/09</t>
  </si>
  <si>
    <t xml:space="preserve">Crol suau</t>
  </si>
  <si>
    <t xml:space="preserve">Crol tècnica (Pull-buoy)</t>
  </si>
  <si>
    <t xml:space="preserve">Tècnica manteniment</t>
  </si>
  <si>
    <t xml:space="preserve">10x100</t>
  </si>
  <si>
    <t xml:space="preserve">Crol r/4 aeròbic</t>
  </si>
  <si>
    <t xml:space="preserve">Aeròbic manteniment</t>
  </si>
  <si>
    <t xml:space="preserve">Papallona ritme lliure</t>
  </si>
  <si>
    <t xml:space="preserve">Manteniment específic</t>
  </si>
  <si>
    <t xml:space="preserve">Diumenge 27/09</t>
  </si>
  <si>
    <t xml:space="preserve">Lliure / recuperació (no programat)</t>
  </si>
  <si>
    <t xml:space="preserve">Dia lliure</t>
  </si>
  <si>
    <t xml:space="preserve">Volum total previst — Setmana 1 (m):</t>
  </si>
  <si>
    <t xml:space="preserve">Volum objectiu setmana 1 (Microcicles, m):</t>
  </si>
  <si>
    <t xml:space="preserve">Nota: primer esborrany de la setmana 1, per sota del rang objectiu per mantenir sessions realistes amb el test CSS inclòs; ajustable amb el criteri de l'entrenador.</t>
  </si>
  <si>
    <t xml:space="preserve">Estructura de sessió — Jep</t>
  </si>
  <si>
    <t xml:space="preserve">5 parts per sessió. El pes de cada part varia segons el tipus de setmana.</t>
  </si>
  <si>
    <t xml:space="preserve">Part de la sessió</t>
  </si>
  <si>
    <t xml:space="preserve">Contingut</t>
  </si>
  <si>
    <t xml:space="preserve">Setmana Càrrega</t>
  </si>
  <si>
    <t xml:space="preserve">Setmana Qualitat</t>
  </si>
  <si>
    <t xml:space="preserve">Descàrrega / Test</t>
  </si>
  <si>
    <t xml:space="preserve">Aeròbic suau + mobilitat articular</t>
  </si>
  <si>
    <t xml:space="preserve">10%</t>
  </si>
  <si>
    <t xml:space="preserve">15%</t>
  </si>
  <si>
    <t xml:space="preserve">Tècnica (inclou 5è estil: Subaquàtic)</t>
  </si>
  <si>
    <t xml:space="preserve">Drills per estil objectiu + sortides/viratges/patada subaquàtica</t>
  </si>
  <si>
    <t xml:space="preserve">20%</t>
  </si>
  <si>
    <t xml:space="preserve">Aeròbic / Llindar</t>
  </si>
  <si>
    <t xml:space="preserve">Volum principal en zones A1/A2</t>
  </si>
  <si>
    <t xml:space="preserve">50%</t>
  </si>
  <si>
    <t xml:space="preserve">30%</t>
  </si>
  <si>
    <t xml:space="preserve">Específic / Qualitat</t>
  </si>
  <si>
    <t xml:space="preserve">Ritme de cursa (USRPT) o simulació de fatiga (Bowman), segons fase</t>
  </si>
  <si>
    <t xml:space="preserve">35%</t>
  </si>
  <si>
    <t xml:space="preserve">40% (si és test)</t>
  </si>
  <si>
    <t xml:space="preserve">Recuperació activa, baixa intensitat</t>
  </si>
  <si>
    <t xml:space="preserve">Material disponible i ús tècnic</t>
  </si>
  <si>
    <t xml:space="preserve">Ús tècnic principal</t>
  </si>
  <si>
    <t xml:space="preserve">Patada i subaquàtic: potència i amplitud de batuda</t>
  </si>
  <si>
    <t xml:space="preserve">Sensibilitat i captura (agafar aigua)</t>
  </si>
  <si>
    <t xml:space="preserve">Força específica de braçada</t>
  </si>
  <si>
    <t xml:space="preserve">Suro</t>
  </si>
  <si>
    <t xml:space="preserve">Aïllament de cames</t>
  </si>
  <si>
    <t xml:space="preserve">Aïllament de braçada / focus de posició</t>
  </si>
  <si>
    <t xml:space="preserve">Tub</t>
  </si>
  <si>
    <t xml:space="preserve">Alineació postural i control respiratori</t>
  </si>
  <si>
    <t xml:space="preserve">Contingut de 'Tècnica (+ Subaquàtic)' i 'Específic/Qualitat' per mesocicle — Jep</t>
  </si>
  <si>
    <t xml:space="preserve">Tècnica (inclou 5è estil: Subaquàtic) + Material</t>
  </si>
  <si>
    <t xml:space="preserve">Específic / Qualitat (metodologia)</t>
  </si>
  <si>
    <t xml:space="preserve">Crol: captura/colze alt + Papallona bàsica + Subaquàtic crol. Material: Pales petites, Suro.</t>
  </si>
  <si>
    <t xml:space="preserve">Australiana: aeròbic de base.</t>
  </si>
  <si>
    <t xml:space="preserve">Crol: eficiència + Papallona: introducció ritme + Subaquàtic. Material: Pull-buoy, Aletes.</t>
  </si>
  <si>
    <t xml:space="preserve">Llindar aeròbic + inici de ritme de cursa al 50 Pap.</t>
  </si>
  <si>
    <t xml:space="preserve">Crol: força final de braçada + Subaquàtic (viratges crol). Material: Pales grans, Aletes.</t>
  </si>
  <si>
    <t xml:space="preserve">Bowman (fatiga 100 Lliure) + USRPT (50 Pap).</t>
  </si>
  <si>
    <t xml:space="preserve">Manteniment crol/papallona en fatiga + Subaquàtic. Material: Tub, Pull-buoy.</t>
  </si>
  <si>
    <t xml:space="preserve">Bowman (simulació fatiga 100 Lliure) + USRPT (ritme exacte 50 Pap).</t>
  </si>
  <si>
    <t xml:space="preserve">Manteniment mínim. Material: Tub.</t>
  </si>
  <si>
    <t xml:space="preserve">Taper: manteniment de ritme de cursa.</t>
  </si>
  <si>
    <t xml:space="preserve">PLANTILLA GENÈRICA — mateixa estructura per a tots els nedadors, dades a la columna B. Font prioritària: Test CSS (si s'introdueixen B9/B10). Si no, s'usa el model de percentatge sobre la millor marca. Cel·les grogues = editar per cada nedador.</t>
  </si>
  <si>
    <t xml:space="preserve">DADES DEL NEDADOR</t>
  </si>
  <si>
    <t xml:space="preserve">Nom nedador</t>
  </si>
  <si>
    <t xml:space="preserve">Jep</t>
  </si>
  <si>
    <t xml:space="preserve">Edat</t>
  </si>
  <si>
    <t xml:space="preserve">Categoria</t>
  </si>
  <si>
    <t xml:space="preserve">master</t>
  </si>
  <si>
    <t xml:space="preserve">Literal: absolut / master / junior</t>
  </si>
  <si>
    <t xml:space="preserve">FONT 1 — TEST CSS (prioritària quan hi hagi dades)</t>
  </si>
  <si>
    <t xml:space="preserve">Data del test</t>
  </si>
  <si>
    <t xml:space="preserve">Deixa en blanc fins que hi hagi resultat.</t>
  </si>
  <si>
    <t xml:space="preserve">Temps 400m (s)</t>
  </si>
  <si>
    <t xml:space="preserve">Introdueix en segons (ex. 5'30"00 = 330).</t>
  </si>
  <si>
    <t xml:space="preserve">Temps 200m (s)</t>
  </si>
  <si>
    <t xml:space="preserve">Esforç màxim, mateixa sessió que el 400m (10-15 min de descans entremig).</t>
  </si>
  <si>
    <t xml:space="preserve">CSS — velocitat (m/s)</t>
  </si>
  <si>
    <t xml:space="preserve">Fórmula validada (Wakayoshi et al., 1992): (400-200)/(t400-t200).</t>
  </si>
  <si>
    <t xml:space="preserve">CSS — ritme per 100m (s)</t>
  </si>
  <si>
    <t xml:space="preserve">FONT 2 — MILLOR MARCA DE COMPETICIÓ (fallback / contrast)</t>
  </si>
  <si>
    <t xml:space="preserve">Millor marca 100m lliures (s)</t>
  </si>
  <si>
    <t xml:space="preserve">( = 1'17"08, piscina 25m )</t>
  </si>
  <si>
    <t xml:space="preserve">Comprovació format</t>
  </si>
  <si>
    <t xml:space="preserve">Altres millors marques (referència, no s'utilitzen al càlcul)</t>
  </si>
  <si>
    <t xml:space="preserve">50m Papallona</t>
  </si>
  <si>
    <t xml:space="preserve">38"86</t>
  </si>
  <si>
    <t xml:space="preserve">50m Lliure (s)</t>
  </si>
  <si>
    <t xml:space="preserve">( = 33"44 ). Numèric i utilitzat com a àncora real de la zona Velocitat (font 2) — evita extrapolar un ritme més ràpid que la pròpia marca de 100m.</t>
  </si>
  <si>
    <t xml:space="preserve">200m Lliure</t>
  </si>
  <si>
    <t xml:space="preserve">3'03"00</t>
  </si>
  <si>
    <t xml:space="preserve">100m IM</t>
  </si>
  <si>
    <t xml:space="preserve">1'38"00</t>
  </si>
  <si>
    <t xml:space="preserve">PARÀMETRES DEL MODEL — Font 2 (ajustables, compartits per defecte)</t>
  </si>
  <si>
    <t xml:space="preserve">Increment A3 sobre marca</t>
  </si>
  <si>
    <t xml:space="preserve">Increment A2 sobre marca</t>
  </si>
  <si>
    <t xml:space="preserve">Increment A1 sobre marca</t>
  </si>
  <si>
    <t xml:space="preserve">Increment Recuperació sobre marca</t>
  </si>
  <si>
    <t xml:space="preserve">Estimat — equival a ~115-130% del ritme de llindar (Maglischo, 2003, 'Swimming Fastest'). Ajustar si cal.</t>
  </si>
  <si>
    <t xml:space="preserve">Factor Velocitat sobre marca/CSS</t>
  </si>
  <si>
    <t xml:space="preserve">Zona 5 (Maglischo, 2003): 75-90% del temps de llindar. S'aplica NOMÉS sobre CSS (llindar real). Amb font 'marca', la Velocitat s'ancora directament a la marca real de 50m (B20), no a un percentatge del 100m.</t>
  </si>
  <si>
    <t xml:space="preserve">Factor d'escala 50↔100m</t>
  </si>
  <si>
    <t xml:space="preserve">Factor d'escala 100↔200m</t>
  </si>
  <si>
    <t xml:space="preserve">Esquena: increment mínim</t>
  </si>
  <si>
    <t xml:space="preserve">Esquena: increment màxim</t>
  </si>
  <si>
    <t xml:space="preserve">Braça: increment mínim</t>
  </si>
  <si>
    <t xml:space="preserve">Braça: increment màxim</t>
  </si>
  <si>
    <t xml:space="preserve">PARÀMETRES DEL MODEL — Font 1, CSS (offsets validats) — Font: Maglischo, 2003, Swimming Fastest</t>
  </si>
  <si>
    <t xml:space="preserve">Offset Recuperació sobre CSS (s)</t>
  </si>
  <si>
    <t xml:space="preserve">Offset A1 sobre CSS (s)</t>
  </si>
  <si>
    <t xml:space="preserve">Offset A2 sobre CSS (s) [= llindar]</t>
  </si>
  <si>
    <t xml:space="preserve">Offset A3 sobre CSS (s) [VO2max]</t>
  </si>
  <si>
    <t xml:space="preserve">FONT ACTIVA</t>
  </si>
  <si>
    <t xml:space="preserve">Font utilitzada</t>
  </si>
  <si>
    <t xml:space="preserve">ZONES CALCULADES — Crol, ritme per 100m (segons)</t>
  </si>
  <si>
    <t xml:space="preserve">Zona</t>
  </si>
  <si>
    <t xml:space="preserve">Ritme (s)</t>
  </si>
  <si>
    <t xml:space="preserve">Format (m:ss)</t>
  </si>
  <si>
    <t xml:space="preserve">Recuperació</t>
  </si>
  <si>
    <t xml:space="preserve">A1 (aeròbic extensiu)</t>
  </si>
  <si>
    <t xml:space="preserve">A2 (llindar)</t>
  </si>
  <si>
    <t xml:space="preserve">A3 (VO2max)</t>
  </si>
  <si>
    <t xml:space="preserve">Velocitat (sprint)</t>
  </si>
  <si>
    <t xml:space="preserve">TAULA — Ritmes per distància (Crol, referència), segons</t>
  </si>
  <si>
    <t xml:space="preserve">Distància</t>
  </si>
  <si>
    <t xml:space="preserve">A3</t>
  </si>
  <si>
    <t xml:space="preserve">Velocitat</t>
  </si>
  <si>
    <t xml:space="preserve">50m</t>
  </si>
  <si>
    <t xml:space="preserve">100m</t>
  </si>
  <si>
    <t xml:space="preserve">200m</t>
  </si>
  <si>
    <t xml:space="preserve">TAULA LLEGIBLE — Ritmes Crol (m:ss)</t>
  </si>
  <si>
    <t xml:space="preserve">TAULA — Ajust per estil (100m, referència Crol)</t>
  </si>
  <si>
    <t xml:space="preserve">Crol (m:ss)</t>
  </si>
  <si>
    <t xml:space="preserve">Esquena (rang)</t>
  </si>
  <si>
    <t xml:space="preserve">Braça (rang)</t>
  </si>
  <si>
    <t xml:space="preserve">RITME DE CURSA OBJECTIU (USRPT) — independent de les zones fisiològiques</t>
  </si>
  <si>
    <t xml:space="preserve">Prova</t>
  </si>
  <si>
    <t xml:space="preserve">Distància (m)</t>
  </si>
  <si>
    <t xml:space="preserve">Temps objectiu (s)</t>
  </si>
  <si>
    <t xml:space="preserve">Ritme /50m (s)</t>
  </si>
  <si>
    <t xml:space="preserve">Ritme /25m (s)</t>
  </si>
  <si>
    <t xml:space="preserve">100m Lliure</t>
  </si>
  <si>
    <t xml:space="preserve">[Prova]</t>
  </si>
  <si>
    <t xml:space="preserve">Llegenda: text blau + fons groc = cel·la a editar per cada nedador. Text negre = fórmula (no editar).</t>
  </si>
  <si>
    <t xml:space="preserve">Notes i supòsits d'aquesta planificació</t>
  </si>
  <si>
    <t xml:space="preserve">• Volum: rang uniforme de 12.000 a 17.000 m/setmana aplicat als 4 nedadors (indicat per l'usuari). Els valors setmanals d'aquest full són punts de partida i s'han d'ajustar amb el criteri de l'entrenador.</t>
  </si>
  <si>
    <t xml:space="preserve">• Ritmes de zona (A1/A2/A3): Lou i Jep tenen valors actuals (a actualitzar amb el test CSS). Cris i Pere parteixen d'estimació indirecta fins que facin el test CSS.</t>
  </si>
  <si>
    <t xml:space="preserve">• Test CSS: programat per a tots els nedadors el DIJOUS 24/09/2026 (setmana 1). Amb el resultat s'actualitzaran les zones A1/A2/A3 i, si la metodologia aplicada ho requereix, es podran afegir noves zones de ritme.</t>
  </si>
  <si>
    <t xml:space="preserve">• Dia de descans total: s'assumeix 1 dia/setmana (proposta: diumenge; ajustable segons disponibilitat del nedador).</t>
  </si>
  <si>
    <t xml:space="preserve">• Sessions: 4 sessions obligatòries + 1 d'opcional, fetes en ordre (S1-S4 + Opcional). No s'assignen dies fixos, excepte: (a) el test CSS, fixat el dijous, i (b) les setmanes de qualitat, on es recomana situar 2 sessions en dimecres i dissabte.</t>
  </si>
  <si>
    <t xml:space="preserve">• Dies de qualitat: Dimecres + Dissabte, aplicats aproximadament 1 de cada 3 setmanes (setmanes 3, 6, 10 i 16), ajustats al calendari de competicions de classe B i C.</t>
  </si>
  <si>
    <t xml:space="preserve">• Orquestració de mesocicles: cada mesocicle tanca amb una prova de classe B o C del calendari (Etapa Barceloneta 17/10, Memorial Cuesta 07/11, Gran Premi Marrugat 12/12), que fa de control extern. El macrocicle acaba amb el doble pic de proves A: Campionat Catalunya (16-17/01/2027) i Campeonato España (04-07/02/2027).</t>
  </si>
  <si>
    <t xml:space="preserve">• Tests d'avaluació d'assoliment a les setmanes de baixada de rendiment: control extern via competició (setmanes 4, 7 i 12) o test intern de simulacre a ritme objectiu (setmana 16, única setmana de descàrrega sense competició programada).</t>
  </si>
  <si>
    <t xml:space="preserve">• Aquest document és una planificació de MESOCICLES I FASES (nivell setmanal). No inclou el detall dia a dia de sèries d'entrenament.</t>
  </si>
  <si>
    <t xml:space="preserve">• Test CSS: es repeteix cada 6-8 setmanes (protocol habitual segons metodologies d'entrenament). Programat 3 cops en aquest macrocicle: setmana 1 (línia base, dijous 24/09), setmana 7 (recalibratge previ a M3) i setmana 13 (recalibratge previ al bloc específic M4). No es repeteix a les setmanes 19-20 per no restar frescor abans del doble pic: les zones de M5 s'arrosseguen del test de la setmana 13.</t>
  </si>
  <si>
    <t xml:space="preserve">• 5è estil - Subaquàtic: es tracta com a disciplina tècnica pròpia (sortides, viratges i patada subaquàtica/fletxa), amb bloc específic dins la part de Tècnica de cada sessió (vegeu pestanya 'Estructura de sessió').</t>
  </si>
  <si>
    <t xml:space="preserve">• Estructura de sessió: 5 parts (Escalfament / Tècnica+Subaquàtic / Aeròbic-Llindar / Específic-Qualitat / Tornada a la calma) amb pes variable segons el tipus de setmana, i metodologia (Australiana/Bowman/USRPT) assignada a nivell de part, no només de mesocicle.</t>
  </si>
  <si>
    <t xml:space="preserve">• Desplegament diari: es crea una pestanya per mes (començant per 'Sept') amb el detall dia a dia de les sessions. De moment només s'ha desplegat la setmana 1 (21-27/09/2026); la resta de setmanes de setembre i els mesos següents es podran anar afegint progressivament a mesura que avanci la temporada.</t>
  </si>
  <si>
    <t xml:space="preserve">• Cris i Pere: com que encara no tenen ritmes A1/A2/A3 propis, les sessions de la setmana 1 s'expressen en esforç percebut (A1 esforç còmode / A2 moderat-alt / A3 alt) en comptes de temps concrets. Es podran passar a temps exactes un cop tinguin el resultat del test CSS.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</si>
</sst>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D9EAD3"/>
        <bgColor rgb="FFDDEBF7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1F2"/>
      </patternFill>
    </fill>
    <fill>
      <patternFill patternType="solid">
        <fgColor rgb="FFF2F2F2"/>
        <bgColor rgb="FFDDEBF7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CE5CD"/>
      <rgbColor rgb="FFD9E1F2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B8" activeCellId="0" sqref="B8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44"/>
    <col collapsed="false" customWidth="true" hidden="false" outlineLevel="0" max="5" min="5" style="1" width="46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40"/>
    <col collapsed="false" customWidth="true" hidden="false" outlineLevel="0" max="26" min="9" style="1" width="8.71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6" customFormat="false" ht="23.2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customFormat="false" ht="23.25" hidden="false" customHeight="true" outlineLevel="0" collapsed="false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n">
        <f aca="false">ROUND(AVERAGEIF(Microcicles!$C$3:$C$22,"M1",Microcicles!$E$3:$E$22),0)</f>
        <v>15500</v>
      </c>
      <c r="H7" s="5" t="s">
        <v>18</v>
      </c>
    </row>
    <row r="8" customFormat="false" ht="23.25" hidden="false" customHeight="true" outlineLevel="0" collapsed="false">
      <c r="A8" s="6" t="s">
        <v>19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  <c r="G8" s="6" t="n">
        <f aca="false">ROUND(AVERAGEIF(Microcicles!$C$3:$C$22,"M2",Microcicles!$E$3:$E$22),0)</f>
        <v>14500</v>
      </c>
      <c r="H8" s="6" t="s">
        <v>25</v>
      </c>
    </row>
    <row r="9" customFormat="false" ht="23.25" hidden="false" customHeight="true" outlineLevel="0" collapsed="false">
      <c r="A9" s="7" t="s">
        <v>26</v>
      </c>
      <c r="B9" s="7" t="s">
        <v>27</v>
      </c>
      <c r="C9" s="7" t="s">
        <v>28</v>
      </c>
      <c r="D9" s="7" t="s">
        <v>29</v>
      </c>
      <c r="E9" s="7" t="s">
        <v>30</v>
      </c>
      <c r="F9" s="7" t="s">
        <v>24</v>
      </c>
      <c r="G9" s="7" t="n">
        <f aca="false">ROUND(AVERAGEIF(Microcicles!$C$3:$C$22,"M3",Microcicles!$E$3:$E$22),0)</f>
        <v>14600</v>
      </c>
      <c r="H9" s="7" t="s">
        <v>31</v>
      </c>
    </row>
    <row r="10" customFormat="false" ht="23.25" hidden="false" customHeight="true" outlineLevel="0" collapsed="false">
      <c r="A10" s="8" t="s">
        <v>32</v>
      </c>
      <c r="B10" s="8" t="s">
        <v>33</v>
      </c>
      <c r="C10" s="8" t="s">
        <v>34</v>
      </c>
      <c r="D10" s="8" t="s">
        <v>35</v>
      </c>
      <c r="E10" s="8" t="s">
        <v>36</v>
      </c>
      <c r="F10" s="8" t="s">
        <v>37</v>
      </c>
      <c r="G10" s="8" t="n">
        <f aca="false">ROUND(AVERAGEIF(Microcicles!$C$3:$C$22,"M4",Microcicles!$E$3:$E$22),0)</f>
        <v>13000</v>
      </c>
      <c r="H10" s="8" t="s">
        <v>38</v>
      </c>
    </row>
    <row r="11" customFormat="false" ht="34.5" hidden="false" customHeight="true" outlineLevel="0" collapsed="false">
      <c r="A11" s="9" t="s">
        <v>39</v>
      </c>
      <c r="B11" s="9" t="s">
        <v>40</v>
      </c>
      <c r="C11" s="9" t="s">
        <v>41</v>
      </c>
      <c r="D11" s="9" t="s">
        <v>42</v>
      </c>
      <c r="E11" s="9" t="s">
        <v>43</v>
      </c>
      <c r="F11" s="9" t="s">
        <v>44</v>
      </c>
      <c r="G11" s="9" t="n">
        <f aca="false">ROUND(AVERAGEIF(Microcicles!$C$3:$C$22,"M5",Microcicles!$E$3:$E$22),0)</f>
        <v>12750</v>
      </c>
      <c r="H11" s="9" t="s">
        <v>45</v>
      </c>
    </row>
    <row r="13" customFormat="false" ht="15" hidden="false" customHeight="true" outlineLevel="0" collapsed="false">
      <c r="A13" s="10" t="s">
        <v>46</v>
      </c>
      <c r="B13" s="10" t="n">
        <f aca="false">ROUND(AVERAGE(Microcicles!$E$3:$E$22),0)</f>
        <v>14075</v>
      </c>
    </row>
    <row r="14" customFormat="false" ht="15" hidden="false" customHeight="true" outlineLevel="0" collapsed="false">
      <c r="A14" s="10" t="s">
        <v>47</v>
      </c>
      <c r="B14" s="10" t="n">
        <f aca="false">COUNTIF(Microcicles!$F$3:$F$22,"Sí")</f>
        <v>4</v>
      </c>
    </row>
    <row r="15" customFormat="false" ht="15" hidden="false" customHeight="true" outlineLevel="0" collapsed="false">
      <c r="A15" s="10" t="s">
        <v>48</v>
      </c>
      <c r="B15" s="10" t="n">
        <f aca="false">COUNTIF(Microcicles!$H$3:$H$22,"&lt;&gt;-")</f>
        <v>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H1"/>
    <mergeCell ref="A2:H2"/>
    <mergeCell ref="A3:H3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6"/>
    <col collapsed="false" customWidth="true" hidden="false" outlineLevel="0" max="4" min="4" style="1" width="30"/>
    <col collapsed="false" customWidth="true" hidden="false" outlineLevel="0" max="5" min="5" style="1" width="15"/>
    <col collapsed="false" customWidth="true" hidden="false" outlineLevel="0" max="6" min="6" style="1" width="14"/>
    <col collapsed="false" customWidth="true" hidden="false" outlineLevel="0" max="7" min="7" style="1" width="22"/>
    <col collapsed="false" customWidth="true" hidden="false" outlineLevel="0" max="9" min="8" style="1" width="40"/>
    <col collapsed="false" customWidth="true" hidden="false" outlineLevel="0" max="10" min="10" style="1" width="50"/>
    <col collapsed="false" customWidth="true" hidden="false" outlineLevel="0" max="26" min="11" style="1" width="8.71"/>
  </cols>
  <sheetData>
    <row r="1" customFormat="false" ht="17.25" hidden="false" customHeight="true" outlineLevel="0" collapsed="false">
      <c r="A1" s="2" t="s">
        <v>49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3.25" hidden="false" customHeight="true" outlineLevel="0" collapsed="false">
      <c r="A2" s="4" t="s">
        <v>50</v>
      </c>
      <c r="B2" s="4" t="s">
        <v>6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</row>
    <row r="3" customFormat="false" ht="45.75" hidden="false" customHeight="true" outlineLevel="0" collapsed="false">
      <c r="A3" s="11" t="n">
        <v>1</v>
      </c>
      <c r="B3" s="11" t="s">
        <v>59</v>
      </c>
      <c r="C3" s="11" t="s">
        <v>60</v>
      </c>
      <c r="D3" s="11" t="s">
        <v>61</v>
      </c>
      <c r="E3" s="11" t="n">
        <v>16000</v>
      </c>
      <c r="F3" s="11" t="s">
        <v>62</v>
      </c>
      <c r="G3" s="12" t="s">
        <v>63</v>
      </c>
      <c r="H3" s="5" t="s">
        <v>64</v>
      </c>
      <c r="I3" s="5" t="s">
        <v>65</v>
      </c>
      <c r="J3" s="5" t="s">
        <v>66</v>
      </c>
    </row>
    <row r="4" customFormat="false" ht="45.75" hidden="false" customHeight="true" outlineLevel="0" collapsed="false">
      <c r="A4" s="11" t="n">
        <v>2</v>
      </c>
      <c r="B4" s="11" t="s">
        <v>67</v>
      </c>
      <c r="C4" s="11" t="s">
        <v>60</v>
      </c>
      <c r="D4" s="11" t="s">
        <v>68</v>
      </c>
      <c r="E4" s="11" t="n">
        <v>16500</v>
      </c>
      <c r="F4" s="11" t="s">
        <v>62</v>
      </c>
      <c r="G4" s="11" t="s">
        <v>65</v>
      </c>
      <c r="H4" s="5" t="s">
        <v>65</v>
      </c>
      <c r="I4" s="5" t="s">
        <v>65</v>
      </c>
      <c r="J4" s="5" t="s">
        <v>69</v>
      </c>
    </row>
    <row r="5" customFormat="false" ht="45.75" hidden="false" customHeight="true" outlineLevel="0" collapsed="false">
      <c r="A5" s="11" t="n">
        <v>3</v>
      </c>
      <c r="B5" s="11" t="s">
        <v>70</v>
      </c>
      <c r="C5" s="11" t="s">
        <v>60</v>
      </c>
      <c r="D5" s="11" t="s">
        <v>71</v>
      </c>
      <c r="E5" s="11" t="n">
        <v>16000</v>
      </c>
      <c r="F5" s="13" t="s">
        <v>72</v>
      </c>
      <c r="G5" s="11" t="s">
        <v>65</v>
      </c>
      <c r="H5" s="5" t="s">
        <v>65</v>
      </c>
      <c r="I5" s="5" t="s">
        <v>65</v>
      </c>
      <c r="J5" s="5" t="s">
        <v>73</v>
      </c>
    </row>
    <row r="6" customFormat="false" ht="45.75" hidden="false" customHeight="true" outlineLevel="0" collapsed="false">
      <c r="A6" s="11" t="n">
        <v>4</v>
      </c>
      <c r="B6" s="11" t="s">
        <v>74</v>
      </c>
      <c r="C6" s="11" t="s">
        <v>60</v>
      </c>
      <c r="D6" s="11" t="s">
        <v>75</v>
      </c>
      <c r="E6" s="11" t="n">
        <v>13500</v>
      </c>
      <c r="F6" s="11" t="s">
        <v>62</v>
      </c>
      <c r="G6" s="11" t="s">
        <v>65</v>
      </c>
      <c r="H6" s="5" t="s">
        <v>76</v>
      </c>
      <c r="I6" s="5" t="s">
        <v>77</v>
      </c>
      <c r="J6" s="5" t="s">
        <v>78</v>
      </c>
    </row>
    <row r="7" customFormat="false" ht="45.75" hidden="false" customHeight="true" outlineLevel="0" collapsed="false">
      <c r="A7" s="14" t="n">
        <v>5</v>
      </c>
      <c r="B7" s="14" t="s">
        <v>79</v>
      </c>
      <c r="C7" s="14" t="s">
        <v>80</v>
      </c>
      <c r="D7" s="14" t="s">
        <v>68</v>
      </c>
      <c r="E7" s="14" t="n">
        <v>15500</v>
      </c>
      <c r="F7" s="14" t="s">
        <v>62</v>
      </c>
      <c r="G7" s="14" t="s">
        <v>65</v>
      </c>
      <c r="H7" s="6" t="s">
        <v>65</v>
      </c>
      <c r="I7" s="6" t="s">
        <v>65</v>
      </c>
      <c r="J7" s="6" t="s">
        <v>81</v>
      </c>
    </row>
    <row r="8" customFormat="false" ht="45.75" hidden="false" customHeight="true" outlineLevel="0" collapsed="false">
      <c r="A8" s="14" t="n">
        <v>6</v>
      </c>
      <c r="B8" s="14" t="s">
        <v>82</v>
      </c>
      <c r="C8" s="14" t="s">
        <v>80</v>
      </c>
      <c r="D8" s="14" t="s">
        <v>71</v>
      </c>
      <c r="E8" s="14" t="n">
        <v>15000</v>
      </c>
      <c r="F8" s="13" t="s">
        <v>72</v>
      </c>
      <c r="G8" s="14" t="s">
        <v>65</v>
      </c>
      <c r="H8" s="6" t="s">
        <v>65</v>
      </c>
      <c r="I8" s="6" t="s">
        <v>65</v>
      </c>
      <c r="J8" s="6" t="s">
        <v>83</v>
      </c>
    </row>
    <row r="9" customFormat="false" ht="45.75" hidden="false" customHeight="true" outlineLevel="0" collapsed="false">
      <c r="A9" s="14" t="n">
        <v>7</v>
      </c>
      <c r="B9" s="14" t="s">
        <v>84</v>
      </c>
      <c r="C9" s="14" t="s">
        <v>80</v>
      </c>
      <c r="D9" s="14" t="s">
        <v>85</v>
      </c>
      <c r="E9" s="14" t="n">
        <v>13000</v>
      </c>
      <c r="F9" s="14" t="s">
        <v>62</v>
      </c>
      <c r="G9" s="12" t="s">
        <v>86</v>
      </c>
      <c r="H9" s="6" t="s">
        <v>87</v>
      </c>
      <c r="I9" s="6" t="s">
        <v>77</v>
      </c>
      <c r="J9" s="6" t="s">
        <v>88</v>
      </c>
    </row>
    <row r="10" customFormat="false" ht="45.75" hidden="false" customHeight="true" outlineLevel="0" collapsed="false">
      <c r="A10" s="15" t="n">
        <v>8</v>
      </c>
      <c r="B10" s="15" t="s">
        <v>89</v>
      </c>
      <c r="C10" s="15" t="s">
        <v>90</v>
      </c>
      <c r="D10" s="15" t="s">
        <v>68</v>
      </c>
      <c r="E10" s="15" t="n">
        <v>15000</v>
      </c>
      <c r="F10" s="15" t="s">
        <v>62</v>
      </c>
      <c r="G10" s="15" t="s">
        <v>65</v>
      </c>
      <c r="H10" s="7" t="s">
        <v>65</v>
      </c>
      <c r="I10" s="7" t="s">
        <v>65</v>
      </c>
      <c r="J10" s="7" t="s">
        <v>91</v>
      </c>
    </row>
    <row r="11" customFormat="false" ht="45.75" hidden="false" customHeight="true" outlineLevel="0" collapsed="false">
      <c r="A11" s="15" t="n">
        <v>9</v>
      </c>
      <c r="B11" s="15" t="s">
        <v>92</v>
      </c>
      <c r="C11" s="15" t="s">
        <v>90</v>
      </c>
      <c r="D11" s="15" t="s">
        <v>68</v>
      </c>
      <c r="E11" s="15" t="n">
        <v>15500</v>
      </c>
      <c r="F11" s="15" t="s">
        <v>62</v>
      </c>
      <c r="G11" s="15" t="s">
        <v>65</v>
      </c>
      <c r="H11" s="7" t="s">
        <v>65</v>
      </c>
      <c r="I11" s="7" t="s">
        <v>65</v>
      </c>
      <c r="J11" s="7" t="s">
        <v>93</v>
      </c>
    </row>
    <row r="12" customFormat="false" ht="45.75" hidden="false" customHeight="true" outlineLevel="0" collapsed="false">
      <c r="A12" s="15" t="n">
        <v>10</v>
      </c>
      <c r="B12" s="15" t="s">
        <v>94</v>
      </c>
      <c r="C12" s="15" t="s">
        <v>90</v>
      </c>
      <c r="D12" s="15" t="s">
        <v>71</v>
      </c>
      <c r="E12" s="15" t="n">
        <v>15000</v>
      </c>
      <c r="F12" s="13" t="s">
        <v>72</v>
      </c>
      <c r="G12" s="15" t="s">
        <v>65</v>
      </c>
      <c r="H12" s="7" t="s">
        <v>65</v>
      </c>
      <c r="I12" s="7" t="s">
        <v>65</v>
      </c>
      <c r="J12" s="7" t="s">
        <v>95</v>
      </c>
    </row>
    <row r="13" customFormat="false" ht="45.75" hidden="false" customHeight="true" outlineLevel="0" collapsed="false">
      <c r="A13" s="15" t="n">
        <v>11</v>
      </c>
      <c r="B13" s="15" t="s">
        <v>96</v>
      </c>
      <c r="C13" s="15" t="s">
        <v>90</v>
      </c>
      <c r="D13" s="15" t="s">
        <v>97</v>
      </c>
      <c r="E13" s="15" t="n">
        <v>14500</v>
      </c>
      <c r="F13" s="15" t="s">
        <v>62</v>
      </c>
      <c r="G13" s="15" t="s">
        <v>65</v>
      </c>
      <c r="H13" s="7" t="s">
        <v>65</v>
      </c>
      <c r="I13" s="7" t="s">
        <v>65</v>
      </c>
      <c r="J13" s="7" t="s">
        <v>98</v>
      </c>
    </row>
    <row r="14" customFormat="false" ht="45.75" hidden="false" customHeight="true" outlineLevel="0" collapsed="false">
      <c r="A14" s="15" t="n">
        <v>12</v>
      </c>
      <c r="B14" s="15" t="s">
        <v>99</v>
      </c>
      <c r="C14" s="15" t="s">
        <v>90</v>
      </c>
      <c r="D14" s="15" t="s">
        <v>100</v>
      </c>
      <c r="E14" s="15" t="n">
        <v>13000</v>
      </c>
      <c r="F14" s="15" t="s">
        <v>62</v>
      </c>
      <c r="G14" s="15" t="s">
        <v>65</v>
      </c>
      <c r="H14" s="7" t="s">
        <v>101</v>
      </c>
      <c r="I14" s="7" t="s">
        <v>77</v>
      </c>
      <c r="J14" s="7" t="s">
        <v>102</v>
      </c>
    </row>
    <row r="15" customFormat="false" ht="45.75" hidden="false" customHeight="true" outlineLevel="0" collapsed="false">
      <c r="A15" s="16" t="n">
        <v>13</v>
      </c>
      <c r="B15" s="16" t="s">
        <v>103</v>
      </c>
      <c r="C15" s="16" t="s">
        <v>104</v>
      </c>
      <c r="D15" s="16" t="s">
        <v>105</v>
      </c>
      <c r="E15" s="16" t="n">
        <v>14000</v>
      </c>
      <c r="F15" s="16" t="s">
        <v>62</v>
      </c>
      <c r="G15" s="12" t="s">
        <v>106</v>
      </c>
      <c r="H15" s="8" t="s">
        <v>65</v>
      </c>
      <c r="I15" s="8" t="s">
        <v>65</v>
      </c>
      <c r="J15" s="8" t="s">
        <v>107</v>
      </c>
    </row>
    <row r="16" customFormat="false" ht="45.75" hidden="false" customHeight="true" outlineLevel="0" collapsed="false">
      <c r="A16" s="16" t="n">
        <v>14</v>
      </c>
      <c r="B16" s="16" t="s">
        <v>108</v>
      </c>
      <c r="C16" s="16" t="s">
        <v>104</v>
      </c>
      <c r="D16" s="16" t="s">
        <v>109</v>
      </c>
      <c r="E16" s="16" t="n">
        <v>12500</v>
      </c>
      <c r="F16" s="16" t="s">
        <v>62</v>
      </c>
      <c r="G16" s="16" t="s">
        <v>65</v>
      </c>
      <c r="H16" s="8" t="s">
        <v>65</v>
      </c>
      <c r="I16" s="8" t="s">
        <v>65</v>
      </c>
      <c r="J16" s="8" t="s">
        <v>110</v>
      </c>
    </row>
    <row r="17" customFormat="false" ht="45.75" hidden="false" customHeight="true" outlineLevel="0" collapsed="false">
      <c r="A17" s="16" t="n">
        <v>15</v>
      </c>
      <c r="B17" s="16" t="s">
        <v>111</v>
      </c>
      <c r="C17" s="16" t="s">
        <v>104</v>
      </c>
      <c r="D17" s="16" t="s">
        <v>112</v>
      </c>
      <c r="E17" s="16" t="n">
        <v>12000</v>
      </c>
      <c r="F17" s="16" t="s">
        <v>62</v>
      </c>
      <c r="G17" s="16" t="s">
        <v>65</v>
      </c>
      <c r="H17" s="8" t="s">
        <v>65</v>
      </c>
      <c r="I17" s="8" t="s">
        <v>65</v>
      </c>
      <c r="J17" s="8" t="s">
        <v>113</v>
      </c>
    </row>
    <row r="18" customFormat="false" ht="45.75" hidden="false" customHeight="true" outlineLevel="0" collapsed="false">
      <c r="A18" s="16" t="n">
        <v>16</v>
      </c>
      <c r="B18" s="16" t="s">
        <v>114</v>
      </c>
      <c r="C18" s="16" t="s">
        <v>104</v>
      </c>
      <c r="D18" s="16" t="s">
        <v>115</v>
      </c>
      <c r="E18" s="16" t="n">
        <v>13500</v>
      </c>
      <c r="F18" s="13" t="s">
        <v>72</v>
      </c>
      <c r="G18" s="16" t="s">
        <v>65</v>
      </c>
      <c r="H18" s="8" t="s">
        <v>65</v>
      </c>
      <c r="I18" s="17" t="s">
        <v>116</v>
      </c>
      <c r="J18" s="8" t="s">
        <v>117</v>
      </c>
    </row>
    <row r="19" customFormat="false" ht="45.75" hidden="false" customHeight="true" outlineLevel="0" collapsed="false">
      <c r="A19" s="18" t="n">
        <v>17</v>
      </c>
      <c r="B19" s="18" t="s">
        <v>118</v>
      </c>
      <c r="C19" s="18" t="s">
        <v>119</v>
      </c>
      <c r="D19" s="18" t="s">
        <v>120</v>
      </c>
      <c r="E19" s="18" t="n">
        <v>12500</v>
      </c>
      <c r="F19" s="18" t="s">
        <v>62</v>
      </c>
      <c r="G19" s="18" t="s">
        <v>65</v>
      </c>
      <c r="H19" s="9" t="s">
        <v>121</v>
      </c>
      <c r="I19" s="9" t="s">
        <v>65</v>
      </c>
      <c r="J19" s="9" t="s">
        <v>122</v>
      </c>
    </row>
    <row r="20" customFormat="false" ht="45.75" hidden="false" customHeight="true" outlineLevel="0" collapsed="false">
      <c r="A20" s="18" t="n">
        <v>18</v>
      </c>
      <c r="B20" s="18" t="s">
        <v>123</v>
      </c>
      <c r="C20" s="18" t="s">
        <v>119</v>
      </c>
      <c r="D20" s="18" t="s">
        <v>124</v>
      </c>
      <c r="E20" s="18" t="n">
        <v>13500</v>
      </c>
      <c r="F20" s="18" t="s">
        <v>62</v>
      </c>
      <c r="G20" s="18" t="s">
        <v>65</v>
      </c>
      <c r="H20" s="9" t="s">
        <v>65</v>
      </c>
      <c r="I20" s="9" t="s">
        <v>65</v>
      </c>
      <c r="J20" s="9" t="s">
        <v>125</v>
      </c>
    </row>
    <row r="21" customFormat="false" ht="45.75" hidden="false" customHeight="true" outlineLevel="0" collapsed="false">
      <c r="A21" s="18" t="n">
        <v>19</v>
      </c>
      <c r="B21" s="18" t="s">
        <v>126</v>
      </c>
      <c r="C21" s="18" t="s">
        <v>119</v>
      </c>
      <c r="D21" s="18" t="s">
        <v>127</v>
      </c>
      <c r="E21" s="18" t="n">
        <v>13000</v>
      </c>
      <c r="F21" s="18" t="s">
        <v>62</v>
      </c>
      <c r="G21" s="18" t="s">
        <v>65</v>
      </c>
      <c r="H21" s="9" t="s">
        <v>65</v>
      </c>
      <c r="I21" s="9" t="s">
        <v>65</v>
      </c>
      <c r="J21" s="9" t="s">
        <v>128</v>
      </c>
    </row>
    <row r="22" customFormat="false" ht="45.75" hidden="false" customHeight="true" outlineLevel="0" collapsed="false">
      <c r="A22" s="18" t="n">
        <v>20</v>
      </c>
      <c r="B22" s="18" t="s">
        <v>129</v>
      </c>
      <c r="C22" s="18" t="s">
        <v>119</v>
      </c>
      <c r="D22" s="18" t="s">
        <v>130</v>
      </c>
      <c r="E22" s="18" t="n">
        <v>12000</v>
      </c>
      <c r="F22" s="18" t="s">
        <v>62</v>
      </c>
      <c r="G22" s="18" t="s">
        <v>65</v>
      </c>
      <c r="H22" s="9" t="s">
        <v>131</v>
      </c>
      <c r="I22" s="9" t="s">
        <v>65</v>
      </c>
      <c r="J22" s="9" t="s">
        <v>132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4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3"/>
    <col collapsed="false" customWidth="true" hidden="false" outlineLevel="0" max="8" min="8" style="1" width="34"/>
    <col collapsed="false" customWidth="true" hidden="false" outlineLevel="0" max="10" min="9" style="1" width="10"/>
    <col collapsed="false" customWidth="true" hidden="false" outlineLevel="0" max="26" min="11" style="1" width="8.71"/>
  </cols>
  <sheetData>
    <row r="1" customFormat="false" ht="17.25" hidden="false" customHeight="true" outlineLevel="0" collapsed="false">
      <c r="A1" s="2" t="s">
        <v>133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10" t="s">
        <v>135</v>
      </c>
    </row>
    <row r="5" customFormat="false" ht="23.25" hidden="false" customHeight="true" outlineLevel="0" collapsed="false">
      <c r="A5" s="4" t="s">
        <v>136</v>
      </c>
      <c r="B5" s="4" t="s">
        <v>137</v>
      </c>
      <c r="C5" s="4" t="s">
        <v>138</v>
      </c>
      <c r="D5" s="4" t="s">
        <v>139</v>
      </c>
      <c r="E5" s="4" t="s">
        <v>140</v>
      </c>
      <c r="F5" s="4" t="s">
        <v>141</v>
      </c>
      <c r="G5" s="4"/>
      <c r="H5" s="4" t="s">
        <v>142</v>
      </c>
      <c r="I5" s="4" t="s">
        <v>143</v>
      </c>
      <c r="J5" s="4" t="s">
        <v>144</v>
      </c>
    </row>
    <row r="6" customFormat="false" ht="15" hidden="false" customHeight="true" outlineLevel="0" collapsed="false">
      <c r="A6" s="19" t="s">
        <v>145</v>
      </c>
      <c r="B6" s="19" t="s">
        <v>146</v>
      </c>
      <c r="C6" s="20" t="s">
        <v>147</v>
      </c>
      <c r="D6" s="19" t="s">
        <v>65</v>
      </c>
      <c r="E6" s="19" t="s">
        <v>65</v>
      </c>
      <c r="F6" s="19" t="s">
        <v>148</v>
      </c>
      <c r="G6" s="19"/>
      <c r="H6" s="20" t="s">
        <v>149</v>
      </c>
      <c r="I6" s="19" t="n">
        <v>8</v>
      </c>
      <c r="J6" s="19" t="n">
        <v>400</v>
      </c>
    </row>
    <row r="7" customFormat="false" ht="15" hidden="false" customHeight="true" outlineLevel="0" collapsed="false">
      <c r="A7" s="19"/>
      <c r="B7" s="19" t="s">
        <v>150</v>
      </c>
      <c r="C7" s="20" t="s">
        <v>151</v>
      </c>
      <c r="D7" s="19" t="s">
        <v>152</v>
      </c>
      <c r="E7" s="19" t="s">
        <v>153</v>
      </c>
      <c r="F7" s="19" t="s">
        <v>148</v>
      </c>
      <c r="G7" s="19"/>
      <c r="H7" s="20" t="s">
        <v>154</v>
      </c>
      <c r="I7" s="19" t="n">
        <v>8</v>
      </c>
      <c r="J7" s="19" t="n">
        <v>400</v>
      </c>
    </row>
    <row r="8" customFormat="false" ht="15" hidden="false" customHeight="true" outlineLevel="0" collapsed="false">
      <c r="A8" s="19"/>
      <c r="B8" s="19" t="s">
        <v>155</v>
      </c>
      <c r="C8" s="20" t="s">
        <v>156</v>
      </c>
      <c r="D8" s="19" t="s">
        <v>157</v>
      </c>
      <c r="E8" s="19" t="s">
        <v>158</v>
      </c>
      <c r="F8" s="19" t="s">
        <v>159</v>
      </c>
      <c r="G8" s="19"/>
      <c r="H8" s="20" t="s">
        <v>160</v>
      </c>
      <c r="I8" s="19" t="n">
        <v>3</v>
      </c>
      <c r="J8" s="19" t="n">
        <v>150</v>
      </c>
    </row>
    <row r="9" customFormat="false" ht="15" hidden="false" customHeight="true" outlineLevel="0" collapsed="false">
      <c r="A9" s="19"/>
      <c r="B9" s="19" t="s">
        <v>161</v>
      </c>
      <c r="C9" s="20" t="s">
        <v>162</v>
      </c>
      <c r="D9" s="19" t="s">
        <v>163</v>
      </c>
      <c r="E9" s="19" t="s">
        <v>65</v>
      </c>
      <c r="F9" s="19" t="s">
        <v>148</v>
      </c>
      <c r="G9" s="19"/>
      <c r="H9" s="20" t="s">
        <v>164</v>
      </c>
      <c r="I9" s="19" t="n">
        <v>40</v>
      </c>
      <c r="J9" s="19" t="n">
        <v>2000</v>
      </c>
    </row>
    <row r="10" customFormat="false" ht="15" hidden="false" customHeight="true" outlineLevel="0" collapsed="false">
      <c r="A10" s="19"/>
      <c r="B10" s="19" t="s">
        <v>165</v>
      </c>
      <c r="C10" s="20" t="s">
        <v>166</v>
      </c>
      <c r="D10" s="19" t="s">
        <v>167</v>
      </c>
      <c r="E10" s="19" t="s">
        <v>168</v>
      </c>
      <c r="F10" s="19" t="s">
        <v>148</v>
      </c>
      <c r="G10" s="19"/>
      <c r="H10" s="20" t="s">
        <v>169</v>
      </c>
      <c r="I10" s="19" t="n">
        <v>6</v>
      </c>
      <c r="J10" s="19" t="n">
        <v>300</v>
      </c>
    </row>
    <row r="11" customFormat="false" ht="15" hidden="false" customHeight="true" outlineLevel="0" collapsed="false">
      <c r="A11" s="19"/>
      <c r="B11" s="19" t="s">
        <v>170</v>
      </c>
      <c r="C11" s="20" t="s">
        <v>171</v>
      </c>
      <c r="D11" s="19" t="s">
        <v>65</v>
      </c>
      <c r="E11" s="19" t="s">
        <v>65</v>
      </c>
      <c r="F11" s="19" t="s">
        <v>172</v>
      </c>
      <c r="G11" s="19"/>
      <c r="H11" s="20" t="s">
        <v>173</v>
      </c>
      <c r="I11" s="19" t="n">
        <v>6</v>
      </c>
      <c r="J11" s="19" t="n">
        <v>300</v>
      </c>
    </row>
    <row r="12" customFormat="false" ht="15" hidden="false" customHeight="true" outlineLevel="0" collapsed="false">
      <c r="A12" s="21"/>
      <c r="B12" s="21" t="s">
        <v>174</v>
      </c>
      <c r="C12" s="21"/>
      <c r="D12" s="21"/>
      <c r="E12" s="21"/>
      <c r="F12" s="21"/>
      <c r="G12" s="21"/>
      <c r="H12" s="21"/>
      <c r="I12" s="21" t="n">
        <f aca="false">SUM(I6:I11)</f>
        <v>71</v>
      </c>
      <c r="J12" s="21" t="n">
        <f aca="false">SUM(J6:J11)</f>
        <v>3550</v>
      </c>
    </row>
    <row r="14" customFormat="false" ht="15" hidden="false" customHeight="true" outlineLevel="0" collapsed="false">
      <c r="A14" s="19" t="s">
        <v>175</v>
      </c>
      <c r="B14" s="19" t="s">
        <v>170</v>
      </c>
      <c r="C14" s="20" t="s">
        <v>176</v>
      </c>
      <c r="D14" s="19" t="s">
        <v>65</v>
      </c>
      <c r="E14" s="19" t="s">
        <v>65</v>
      </c>
      <c r="F14" s="19" t="s">
        <v>148</v>
      </c>
      <c r="G14" s="19"/>
      <c r="H14" s="20" t="s">
        <v>149</v>
      </c>
      <c r="I14" s="19" t="n">
        <v>6</v>
      </c>
      <c r="J14" s="19" t="n">
        <v>300</v>
      </c>
    </row>
    <row r="15" customFormat="false" ht="15" hidden="false" customHeight="true" outlineLevel="0" collapsed="false">
      <c r="A15" s="19"/>
      <c r="B15" s="19" t="s">
        <v>150</v>
      </c>
      <c r="C15" s="20" t="s">
        <v>177</v>
      </c>
      <c r="D15" s="19" t="s">
        <v>152</v>
      </c>
      <c r="E15" s="19" t="s">
        <v>158</v>
      </c>
      <c r="F15" s="19" t="s">
        <v>148</v>
      </c>
      <c r="G15" s="19"/>
      <c r="H15" s="20" t="s">
        <v>178</v>
      </c>
      <c r="I15" s="19" t="n">
        <v>8</v>
      </c>
      <c r="J15" s="19" t="n">
        <v>400</v>
      </c>
    </row>
    <row r="16" customFormat="false" ht="15" hidden="false" customHeight="true" outlineLevel="0" collapsed="false">
      <c r="A16" s="19"/>
      <c r="B16" s="19" t="s">
        <v>179</v>
      </c>
      <c r="C16" s="20" t="s">
        <v>180</v>
      </c>
      <c r="D16" s="19" t="s">
        <v>152</v>
      </c>
      <c r="E16" s="19" t="s">
        <v>158</v>
      </c>
      <c r="F16" s="19" t="s">
        <v>159</v>
      </c>
      <c r="G16" s="19"/>
      <c r="H16" s="20" t="s">
        <v>181</v>
      </c>
      <c r="I16" s="19" t="n">
        <v>4</v>
      </c>
      <c r="J16" s="19" t="n">
        <v>200</v>
      </c>
    </row>
    <row r="17" customFormat="false" ht="15" hidden="false" customHeight="true" outlineLevel="0" collapsed="false">
      <c r="A17" s="19"/>
      <c r="B17" s="19" t="s">
        <v>182</v>
      </c>
      <c r="C17" s="20" t="s">
        <v>183</v>
      </c>
      <c r="D17" s="19" t="s">
        <v>184</v>
      </c>
      <c r="E17" s="19" t="s">
        <v>65</v>
      </c>
      <c r="F17" s="19" t="s">
        <v>185</v>
      </c>
      <c r="G17" s="19"/>
      <c r="H17" s="20" t="s">
        <v>164</v>
      </c>
      <c r="I17" s="19" t="n">
        <v>28</v>
      </c>
      <c r="J17" s="19" t="n">
        <v>1400</v>
      </c>
    </row>
    <row r="18" customFormat="false" ht="15" hidden="false" customHeight="true" outlineLevel="0" collapsed="false">
      <c r="A18" s="19"/>
      <c r="B18" s="19" t="s">
        <v>165</v>
      </c>
      <c r="C18" s="20" t="s">
        <v>186</v>
      </c>
      <c r="D18" s="19" t="s">
        <v>167</v>
      </c>
      <c r="E18" s="19" t="s">
        <v>168</v>
      </c>
      <c r="F18" s="19" t="s">
        <v>148</v>
      </c>
      <c r="G18" s="19"/>
      <c r="H18" s="20" t="s">
        <v>187</v>
      </c>
      <c r="I18" s="19" t="n">
        <v>6</v>
      </c>
      <c r="J18" s="19" t="n">
        <v>300</v>
      </c>
    </row>
    <row r="19" customFormat="false" ht="15" hidden="false" customHeight="true" outlineLevel="0" collapsed="false">
      <c r="A19" s="19"/>
      <c r="B19" s="19" t="s">
        <v>170</v>
      </c>
      <c r="C19" s="20" t="s">
        <v>171</v>
      </c>
      <c r="D19" s="19" t="s">
        <v>65</v>
      </c>
      <c r="E19" s="19" t="s">
        <v>65</v>
      </c>
      <c r="F19" s="19" t="s">
        <v>172</v>
      </c>
      <c r="G19" s="19"/>
      <c r="H19" s="20" t="s">
        <v>173</v>
      </c>
      <c r="I19" s="19" t="n">
        <v>6</v>
      </c>
      <c r="J19" s="19" t="n">
        <v>300</v>
      </c>
    </row>
    <row r="20" customFormat="false" ht="15" hidden="false" customHeight="true" outlineLevel="0" collapsed="false">
      <c r="A20" s="21"/>
      <c r="B20" s="21" t="s">
        <v>174</v>
      </c>
      <c r="C20" s="21"/>
      <c r="D20" s="21"/>
      <c r="E20" s="21"/>
      <c r="F20" s="21"/>
      <c r="G20" s="21"/>
      <c r="H20" s="21"/>
      <c r="I20" s="21" t="n">
        <f aca="false">SUM(I14:I19)</f>
        <v>58</v>
      </c>
      <c r="J20" s="21" t="n">
        <f aca="false">SUM(J14:J19)</f>
        <v>2900</v>
      </c>
    </row>
    <row r="21" customFormat="false" ht="15.75" hidden="false" customHeight="true" outlineLevel="0" collapsed="false"/>
    <row r="22" customFormat="false" ht="15.75" hidden="false" customHeight="true" outlineLevel="0" collapsed="false">
      <c r="A22" s="19" t="s">
        <v>188</v>
      </c>
      <c r="B22" s="19" t="s">
        <v>146</v>
      </c>
      <c r="C22" s="20" t="s">
        <v>189</v>
      </c>
      <c r="D22" s="19" t="s">
        <v>65</v>
      </c>
      <c r="E22" s="19" t="s">
        <v>65</v>
      </c>
      <c r="F22" s="19" t="s">
        <v>148</v>
      </c>
      <c r="G22" s="19"/>
      <c r="H22" s="20" t="s">
        <v>149</v>
      </c>
      <c r="I22" s="19" t="n">
        <v>8</v>
      </c>
      <c r="J22" s="19" t="n">
        <v>400</v>
      </c>
    </row>
    <row r="23" customFormat="false" ht="15.75" hidden="false" customHeight="true" outlineLevel="0" collapsed="false">
      <c r="A23" s="19"/>
      <c r="B23" s="19" t="s">
        <v>150</v>
      </c>
      <c r="C23" s="20" t="s">
        <v>190</v>
      </c>
      <c r="D23" s="19" t="s">
        <v>152</v>
      </c>
      <c r="E23" s="19" t="s">
        <v>191</v>
      </c>
      <c r="F23" s="19" t="s">
        <v>192</v>
      </c>
      <c r="G23" s="19"/>
      <c r="H23" s="20" t="s">
        <v>193</v>
      </c>
      <c r="I23" s="19" t="n">
        <v>8</v>
      </c>
      <c r="J23" s="19" t="n">
        <v>400</v>
      </c>
    </row>
    <row r="24" customFormat="false" ht="15.75" hidden="false" customHeight="true" outlineLevel="0" collapsed="false">
      <c r="A24" s="19"/>
      <c r="B24" s="19" t="s">
        <v>155</v>
      </c>
      <c r="C24" s="20" t="s">
        <v>194</v>
      </c>
      <c r="D24" s="19" t="s">
        <v>195</v>
      </c>
      <c r="E24" s="19" t="s">
        <v>158</v>
      </c>
      <c r="F24" s="19" t="s">
        <v>159</v>
      </c>
      <c r="G24" s="19"/>
      <c r="H24" s="20" t="s">
        <v>196</v>
      </c>
      <c r="I24" s="19" t="n">
        <v>3</v>
      </c>
      <c r="J24" s="19" t="n">
        <v>150</v>
      </c>
    </row>
    <row r="25" customFormat="false" ht="15.75" hidden="false" customHeight="true" outlineLevel="0" collapsed="false">
      <c r="A25" s="19"/>
      <c r="B25" s="19" t="s">
        <v>197</v>
      </c>
      <c r="C25" s="20" t="s">
        <v>198</v>
      </c>
      <c r="D25" s="19" t="s">
        <v>199</v>
      </c>
      <c r="E25" s="19" t="s">
        <v>168</v>
      </c>
      <c r="F25" s="19" t="s">
        <v>148</v>
      </c>
      <c r="G25" s="19"/>
      <c r="H25" s="20" t="s">
        <v>164</v>
      </c>
      <c r="I25" s="19" t="n">
        <v>36</v>
      </c>
      <c r="J25" s="19" t="n">
        <v>1800</v>
      </c>
    </row>
    <row r="26" customFormat="false" ht="15.75" hidden="false" customHeight="true" outlineLevel="0" collapsed="false">
      <c r="A26" s="19"/>
      <c r="B26" s="19" t="s">
        <v>165</v>
      </c>
      <c r="C26" s="20" t="s">
        <v>200</v>
      </c>
      <c r="D26" s="19" t="s">
        <v>167</v>
      </c>
      <c r="E26" s="19" t="s">
        <v>65</v>
      </c>
      <c r="F26" s="19" t="s">
        <v>192</v>
      </c>
      <c r="G26" s="19"/>
      <c r="H26" s="20" t="s">
        <v>201</v>
      </c>
      <c r="I26" s="19" t="n">
        <v>6</v>
      </c>
      <c r="J26" s="19" t="n">
        <v>300</v>
      </c>
    </row>
    <row r="27" customFormat="false" ht="15.75" hidden="false" customHeight="true" outlineLevel="0" collapsed="false">
      <c r="A27" s="19"/>
      <c r="B27" s="19" t="s">
        <v>202</v>
      </c>
      <c r="C27" s="20" t="s">
        <v>203</v>
      </c>
      <c r="D27" s="19" t="s">
        <v>204</v>
      </c>
      <c r="E27" s="19" t="s">
        <v>65</v>
      </c>
      <c r="F27" s="19" t="s">
        <v>148</v>
      </c>
      <c r="G27" s="19"/>
      <c r="H27" s="20" t="s">
        <v>205</v>
      </c>
      <c r="I27" s="19" t="n">
        <v>8</v>
      </c>
      <c r="J27" s="19" t="n">
        <v>400</v>
      </c>
    </row>
    <row r="28" customFormat="false" ht="15.75" hidden="false" customHeight="true" outlineLevel="0" collapsed="false">
      <c r="A28" s="19"/>
      <c r="B28" s="19" t="s">
        <v>170</v>
      </c>
      <c r="C28" s="20" t="s">
        <v>171</v>
      </c>
      <c r="D28" s="19" t="s">
        <v>65</v>
      </c>
      <c r="E28" s="19" t="s">
        <v>65</v>
      </c>
      <c r="F28" s="19" t="s">
        <v>172</v>
      </c>
      <c r="G28" s="19"/>
      <c r="H28" s="20" t="s">
        <v>173</v>
      </c>
      <c r="I28" s="19" t="n">
        <v>6</v>
      </c>
      <c r="J28" s="19" t="n">
        <v>300</v>
      </c>
    </row>
    <row r="29" customFormat="false" ht="15.75" hidden="false" customHeight="true" outlineLevel="0" collapsed="false">
      <c r="A29" s="21"/>
      <c r="B29" s="21" t="s">
        <v>174</v>
      </c>
      <c r="C29" s="21"/>
      <c r="D29" s="21"/>
      <c r="E29" s="21"/>
      <c r="F29" s="21"/>
      <c r="G29" s="21"/>
      <c r="H29" s="21"/>
      <c r="I29" s="21" t="n">
        <f aca="false">SUM(I22:I28)</f>
        <v>75</v>
      </c>
      <c r="J29" s="21" t="n">
        <f aca="false">SUM(J22:J28)</f>
        <v>3750</v>
      </c>
    </row>
    <row r="30" customFormat="false" ht="15.75" hidden="false" customHeight="true" outlineLevel="0" collapsed="false"/>
    <row r="31" customFormat="false" ht="15.75" hidden="false" customHeight="true" outlineLevel="0" collapsed="false">
      <c r="A31" s="19" t="s">
        <v>206</v>
      </c>
      <c r="B31" s="19" t="s">
        <v>207</v>
      </c>
      <c r="C31" s="20" t="s">
        <v>208</v>
      </c>
      <c r="D31" s="19" t="s">
        <v>65</v>
      </c>
      <c r="E31" s="19" t="s">
        <v>65</v>
      </c>
      <c r="F31" s="19" t="s">
        <v>148</v>
      </c>
      <c r="G31" s="19"/>
      <c r="H31" s="20" t="s">
        <v>149</v>
      </c>
      <c r="I31" s="19" t="n">
        <v>12</v>
      </c>
      <c r="J31" s="19" t="n">
        <v>600</v>
      </c>
    </row>
    <row r="32" customFormat="false" ht="15.75" hidden="false" customHeight="true" outlineLevel="0" collapsed="false">
      <c r="A32" s="19"/>
      <c r="B32" s="19" t="s">
        <v>179</v>
      </c>
      <c r="C32" s="20" t="s">
        <v>209</v>
      </c>
      <c r="D32" s="19" t="s">
        <v>152</v>
      </c>
      <c r="E32" s="19" t="s">
        <v>65</v>
      </c>
      <c r="F32" s="19" t="s">
        <v>210</v>
      </c>
      <c r="G32" s="19"/>
      <c r="H32" s="20" t="s">
        <v>211</v>
      </c>
      <c r="I32" s="19" t="n">
        <v>4</v>
      </c>
      <c r="J32" s="19" t="n">
        <v>200</v>
      </c>
    </row>
    <row r="33" customFormat="false" ht="15.75" hidden="false" customHeight="true" outlineLevel="0" collapsed="false">
      <c r="A33" s="19"/>
      <c r="B33" s="19" t="s">
        <v>146</v>
      </c>
      <c r="C33" s="20" t="s">
        <v>212</v>
      </c>
      <c r="D33" s="19" t="s">
        <v>65</v>
      </c>
      <c r="E33" s="19" t="s">
        <v>65</v>
      </c>
      <c r="F33" s="19" t="s">
        <v>213</v>
      </c>
      <c r="G33" s="19"/>
      <c r="H33" s="20" t="s">
        <v>214</v>
      </c>
      <c r="I33" s="19" t="n">
        <v>8</v>
      </c>
      <c r="J33" s="19" t="n">
        <v>400</v>
      </c>
    </row>
    <row r="34" customFormat="false" ht="15.75" hidden="false" customHeight="true" outlineLevel="0" collapsed="false">
      <c r="A34" s="19"/>
      <c r="B34" s="19" t="s">
        <v>215</v>
      </c>
      <c r="C34" s="20" t="s">
        <v>216</v>
      </c>
      <c r="D34" s="19" t="s">
        <v>217</v>
      </c>
      <c r="E34" s="19" t="s">
        <v>65</v>
      </c>
      <c r="F34" s="19" t="s">
        <v>172</v>
      </c>
      <c r="G34" s="19"/>
      <c r="H34" s="20" t="s">
        <v>218</v>
      </c>
      <c r="I34" s="19" t="n">
        <v>4</v>
      </c>
      <c r="J34" s="19" t="n">
        <v>200</v>
      </c>
    </row>
    <row r="35" customFormat="false" ht="15.75" hidden="false" customHeight="true" outlineLevel="0" collapsed="false">
      <c r="A35" s="19"/>
      <c r="B35" s="19" t="s">
        <v>215</v>
      </c>
      <c r="C35" s="20" t="s">
        <v>219</v>
      </c>
      <c r="D35" s="19" t="s">
        <v>65</v>
      </c>
      <c r="E35" s="19" t="s">
        <v>65</v>
      </c>
      <c r="F35" s="19" t="s">
        <v>213</v>
      </c>
      <c r="G35" s="19"/>
      <c r="H35" s="20" t="s">
        <v>214</v>
      </c>
      <c r="I35" s="19" t="n">
        <v>4</v>
      </c>
      <c r="J35" s="19" t="n">
        <v>200</v>
      </c>
    </row>
    <row r="36" customFormat="false" ht="15.75" hidden="false" customHeight="true" outlineLevel="0" collapsed="false">
      <c r="A36" s="19"/>
      <c r="B36" s="19" t="s">
        <v>179</v>
      </c>
      <c r="C36" s="20" t="s">
        <v>220</v>
      </c>
      <c r="D36" s="19" t="s">
        <v>167</v>
      </c>
      <c r="E36" s="19" t="s">
        <v>65</v>
      </c>
      <c r="F36" s="19" t="s">
        <v>148</v>
      </c>
      <c r="G36" s="19"/>
      <c r="H36" s="20" t="s">
        <v>221</v>
      </c>
      <c r="I36" s="19" t="n">
        <v>4</v>
      </c>
      <c r="J36" s="19" t="n">
        <v>200</v>
      </c>
    </row>
    <row r="37" customFormat="false" ht="15.75" hidden="false" customHeight="true" outlineLevel="0" collapsed="false">
      <c r="A37" s="19"/>
      <c r="B37" s="19" t="s">
        <v>170</v>
      </c>
      <c r="C37" s="20" t="s">
        <v>222</v>
      </c>
      <c r="D37" s="19" t="s">
        <v>65</v>
      </c>
      <c r="E37" s="19" t="s">
        <v>65</v>
      </c>
      <c r="F37" s="19" t="s">
        <v>172</v>
      </c>
      <c r="G37" s="19"/>
      <c r="H37" s="20" t="s">
        <v>173</v>
      </c>
      <c r="I37" s="19" t="n">
        <v>6</v>
      </c>
      <c r="J37" s="19" t="n">
        <v>300</v>
      </c>
    </row>
    <row r="38" customFormat="false" ht="15.75" hidden="false" customHeight="true" outlineLevel="0" collapsed="false">
      <c r="A38" s="21"/>
      <c r="B38" s="21" t="s">
        <v>174</v>
      </c>
      <c r="C38" s="21"/>
      <c r="D38" s="21"/>
      <c r="E38" s="21"/>
      <c r="F38" s="21"/>
      <c r="G38" s="21"/>
      <c r="H38" s="21"/>
      <c r="I38" s="21" t="n">
        <f aca="false">SUM(I31:I37)</f>
        <v>42</v>
      </c>
      <c r="J38" s="21" t="n">
        <f aca="false">SUM(J31:J37)</f>
        <v>2100</v>
      </c>
    </row>
    <row r="39" customFormat="false" ht="15.75" hidden="false" customHeight="true" outlineLevel="0" collapsed="false"/>
    <row r="40" customFormat="false" ht="15.75" hidden="false" customHeight="true" outlineLevel="0" collapsed="false">
      <c r="A40" s="19" t="s">
        <v>223</v>
      </c>
      <c r="B40" s="19" t="s">
        <v>65</v>
      </c>
      <c r="C40" s="20" t="s">
        <v>224</v>
      </c>
      <c r="D40" s="19" t="s">
        <v>65</v>
      </c>
      <c r="E40" s="19" t="s">
        <v>65</v>
      </c>
      <c r="F40" s="19" t="s">
        <v>65</v>
      </c>
      <c r="G40" s="19"/>
      <c r="H40" s="20" t="s">
        <v>139</v>
      </c>
      <c r="I40" s="19" t="n">
        <v>0</v>
      </c>
      <c r="J40" s="19" t="n">
        <v>0</v>
      </c>
    </row>
    <row r="41" customFormat="false" ht="15.75" hidden="false" customHeight="true" outlineLevel="0" collapsed="false">
      <c r="A41" s="21"/>
      <c r="B41" s="21" t="s">
        <v>174</v>
      </c>
      <c r="C41" s="21"/>
      <c r="D41" s="21"/>
      <c r="E41" s="21"/>
      <c r="F41" s="21"/>
      <c r="G41" s="21"/>
      <c r="H41" s="21"/>
      <c r="I41" s="21" t="n">
        <f aca="false">SUM(I40)</f>
        <v>0</v>
      </c>
      <c r="J41" s="21" t="n">
        <f aca="false">SUM(J40)</f>
        <v>0</v>
      </c>
    </row>
    <row r="42" customFormat="false" ht="15.75" hidden="false" customHeight="true" outlineLevel="0" collapsed="false"/>
    <row r="43" customFormat="false" ht="15.75" hidden="false" customHeight="true" outlineLevel="0" collapsed="false">
      <c r="A43" s="19" t="s">
        <v>225</v>
      </c>
      <c r="B43" s="19" t="s">
        <v>170</v>
      </c>
      <c r="C43" s="20" t="s">
        <v>226</v>
      </c>
      <c r="D43" s="19" t="s">
        <v>65</v>
      </c>
      <c r="E43" s="19" t="s">
        <v>65</v>
      </c>
      <c r="F43" s="19" t="s">
        <v>148</v>
      </c>
      <c r="G43" s="19"/>
      <c r="H43" s="20" t="s">
        <v>149</v>
      </c>
      <c r="I43" s="19" t="n">
        <v>6</v>
      </c>
      <c r="J43" s="19" t="n">
        <v>300</v>
      </c>
    </row>
    <row r="44" customFormat="false" ht="15.75" hidden="false" customHeight="true" outlineLevel="0" collapsed="false">
      <c r="A44" s="19"/>
      <c r="B44" s="19" t="s">
        <v>150</v>
      </c>
      <c r="C44" s="20" t="s">
        <v>227</v>
      </c>
      <c r="D44" s="19" t="s">
        <v>152</v>
      </c>
      <c r="E44" s="19" t="s">
        <v>168</v>
      </c>
      <c r="F44" s="19" t="s">
        <v>148</v>
      </c>
      <c r="G44" s="19"/>
      <c r="H44" s="20" t="s">
        <v>228</v>
      </c>
      <c r="I44" s="19" t="n">
        <v>8</v>
      </c>
      <c r="J44" s="19" t="n">
        <v>400</v>
      </c>
    </row>
    <row r="45" customFormat="false" ht="15.75" hidden="false" customHeight="true" outlineLevel="0" collapsed="false">
      <c r="A45" s="19"/>
      <c r="B45" s="19" t="s">
        <v>229</v>
      </c>
      <c r="C45" s="20" t="s">
        <v>230</v>
      </c>
      <c r="D45" s="19" t="s">
        <v>184</v>
      </c>
      <c r="E45" s="19" t="s">
        <v>65</v>
      </c>
      <c r="F45" s="19" t="s">
        <v>148</v>
      </c>
      <c r="G45" s="19"/>
      <c r="H45" s="20" t="s">
        <v>231</v>
      </c>
      <c r="I45" s="19" t="n">
        <v>20</v>
      </c>
      <c r="J45" s="19" t="n">
        <v>1000</v>
      </c>
    </row>
    <row r="46" customFormat="false" ht="15.75" hidden="false" customHeight="true" outlineLevel="0" collapsed="false">
      <c r="A46" s="19"/>
      <c r="B46" s="19" t="s">
        <v>179</v>
      </c>
      <c r="C46" s="20" t="s">
        <v>232</v>
      </c>
      <c r="D46" s="19" t="s">
        <v>167</v>
      </c>
      <c r="E46" s="19" t="s">
        <v>65</v>
      </c>
      <c r="F46" s="19" t="s">
        <v>192</v>
      </c>
      <c r="G46" s="19"/>
      <c r="H46" s="20" t="s">
        <v>233</v>
      </c>
      <c r="I46" s="19" t="n">
        <v>4</v>
      </c>
      <c r="J46" s="19" t="n">
        <v>200</v>
      </c>
    </row>
    <row r="47" customFormat="false" ht="15.75" hidden="false" customHeight="true" outlineLevel="0" collapsed="false">
      <c r="A47" s="19"/>
      <c r="B47" s="19" t="s">
        <v>170</v>
      </c>
      <c r="C47" s="20" t="s">
        <v>171</v>
      </c>
      <c r="D47" s="19" t="s">
        <v>65</v>
      </c>
      <c r="E47" s="19" t="s">
        <v>65</v>
      </c>
      <c r="F47" s="19" t="s">
        <v>172</v>
      </c>
      <c r="G47" s="19"/>
      <c r="H47" s="20" t="s">
        <v>173</v>
      </c>
      <c r="I47" s="19" t="n">
        <v>6</v>
      </c>
      <c r="J47" s="19" t="n">
        <v>300</v>
      </c>
    </row>
    <row r="48" customFormat="false" ht="15.75" hidden="false" customHeight="true" outlineLevel="0" collapsed="false">
      <c r="A48" s="21"/>
      <c r="B48" s="21" t="s">
        <v>174</v>
      </c>
      <c r="C48" s="21"/>
      <c r="D48" s="21"/>
      <c r="E48" s="21"/>
      <c r="F48" s="21"/>
      <c r="G48" s="21"/>
      <c r="H48" s="21"/>
      <c r="I48" s="21" t="n">
        <f aca="false">SUM(I43:I47)</f>
        <v>44</v>
      </c>
      <c r="J48" s="21" t="n">
        <f aca="false">SUM(J43:J47)</f>
        <v>2200</v>
      </c>
    </row>
    <row r="49" customFormat="false" ht="15.75" hidden="false" customHeight="true" outlineLevel="0" collapsed="false"/>
    <row r="50" customFormat="false" ht="15.75" hidden="false" customHeight="true" outlineLevel="0" collapsed="false">
      <c r="A50" s="19" t="s">
        <v>234</v>
      </c>
      <c r="B50" s="19" t="s">
        <v>65</v>
      </c>
      <c r="C50" s="20" t="s">
        <v>235</v>
      </c>
      <c r="D50" s="19" t="s">
        <v>65</v>
      </c>
      <c r="E50" s="19" t="s">
        <v>65</v>
      </c>
      <c r="F50" s="19" t="s">
        <v>65</v>
      </c>
      <c r="G50" s="19"/>
      <c r="H50" s="20" t="s">
        <v>236</v>
      </c>
      <c r="I50" s="19" t="n">
        <v>0</v>
      </c>
      <c r="J50" s="19" t="n">
        <v>0</v>
      </c>
    </row>
    <row r="51" customFormat="false" ht="15.75" hidden="false" customHeight="true" outlineLevel="0" collapsed="false">
      <c r="A51" s="21"/>
      <c r="B51" s="21" t="s">
        <v>174</v>
      </c>
      <c r="C51" s="21"/>
      <c r="D51" s="21"/>
      <c r="E51" s="21"/>
      <c r="F51" s="21"/>
      <c r="G51" s="21"/>
      <c r="H51" s="21"/>
      <c r="I51" s="21" t="n">
        <f aca="false">SUM(I50)</f>
        <v>0</v>
      </c>
      <c r="J51" s="21" t="n">
        <f aca="false">SUM(J50)</f>
        <v>0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>
      <c r="A54" s="10" t="s">
        <v>237</v>
      </c>
      <c r="B54" s="10" t="n">
        <f aca="false">SUMIF($B$5:$B$200,"Total",$J$5:$J$200)</f>
        <v>14500</v>
      </c>
    </row>
    <row r="55" customFormat="false" ht="15.75" hidden="false" customHeight="true" outlineLevel="0" collapsed="false">
      <c r="A55" s="22" t="s">
        <v>238</v>
      </c>
      <c r="B55" s="22" t="n">
        <f aca="false">Microcicles!E3</f>
        <v>16000</v>
      </c>
    </row>
    <row r="56" customFormat="false" ht="15.75" hidden="false" customHeight="true" outlineLevel="0" collapsed="false">
      <c r="A56" s="23" t="s">
        <v>239</v>
      </c>
      <c r="B56" s="23"/>
      <c r="C56" s="23"/>
      <c r="D56" s="23"/>
      <c r="E56" s="23"/>
      <c r="F56" s="23"/>
      <c r="G56" s="23"/>
      <c r="H56" s="23"/>
      <c r="I56" s="23"/>
      <c r="J56" s="23"/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1:J1"/>
    <mergeCell ref="A2:J2"/>
    <mergeCell ref="A56:J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0"/>
    <col collapsed="false" customWidth="true" hidden="false" outlineLevel="0" max="5" min="3" style="1" width="20"/>
    <col collapsed="false" customWidth="true" hidden="false" outlineLevel="0" max="26" min="6" style="1" width="8.71"/>
  </cols>
  <sheetData>
    <row r="1" customFormat="false" ht="17.25" hidden="false" customHeight="true" outlineLevel="0" collapsed="false">
      <c r="A1" s="2" t="s">
        <v>240</v>
      </c>
      <c r="B1" s="2"/>
      <c r="C1" s="2"/>
      <c r="D1" s="2"/>
      <c r="E1" s="2"/>
    </row>
    <row r="2" customFormat="false" ht="15" hidden="false" customHeight="true" outlineLevel="0" collapsed="false">
      <c r="A2" s="3" t="s">
        <v>241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242</v>
      </c>
      <c r="B4" s="4" t="s">
        <v>243</v>
      </c>
      <c r="C4" s="4" t="s">
        <v>244</v>
      </c>
      <c r="D4" s="4" t="s">
        <v>245</v>
      </c>
      <c r="E4" s="4" t="s">
        <v>246</v>
      </c>
    </row>
    <row r="5" customFormat="false" ht="27.75" hidden="false" customHeight="true" outlineLevel="0" collapsed="false">
      <c r="A5" s="20" t="s">
        <v>149</v>
      </c>
      <c r="B5" s="20" t="s">
        <v>247</v>
      </c>
      <c r="C5" s="19" t="s">
        <v>248</v>
      </c>
      <c r="D5" s="19" t="s">
        <v>248</v>
      </c>
      <c r="E5" s="19" t="s">
        <v>249</v>
      </c>
    </row>
    <row r="6" customFormat="false" ht="27.75" hidden="false" customHeight="true" outlineLevel="0" collapsed="false">
      <c r="A6" s="20" t="s">
        <v>250</v>
      </c>
      <c r="B6" s="20" t="s">
        <v>251</v>
      </c>
      <c r="C6" s="19" t="s">
        <v>252</v>
      </c>
      <c r="D6" s="19" t="s">
        <v>249</v>
      </c>
      <c r="E6" s="19" t="s">
        <v>249</v>
      </c>
    </row>
    <row r="7" customFormat="false" ht="27.75" hidden="false" customHeight="true" outlineLevel="0" collapsed="false">
      <c r="A7" s="20" t="s">
        <v>253</v>
      </c>
      <c r="B7" s="20" t="s">
        <v>254</v>
      </c>
      <c r="C7" s="19" t="s">
        <v>255</v>
      </c>
      <c r="D7" s="19" t="s">
        <v>256</v>
      </c>
      <c r="E7" s="19" t="s">
        <v>252</v>
      </c>
    </row>
    <row r="8" customFormat="false" ht="27.75" hidden="false" customHeight="true" outlineLevel="0" collapsed="false">
      <c r="A8" s="20" t="s">
        <v>257</v>
      </c>
      <c r="B8" s="20" t="s">
        <v>258</v>
      </c>
      <c r="C8" s="19" t="s">
        <v>248</v>
      </c>
      <c r="D8" s="19" t="s">
        <v>259</v>
      </c>
      <c r="E8" s="19" t="s">
        <v>260</v>
      </c>
    </row>
    <row r="9" customFormat="false" ht="27.75" hidden="false" customHeight="true" outlineLevel="0" collapsed="false">
      <c r="A9" s="20" t="s">
        <v>173</v>
      </c>
      <c r="B9" s="20" t="s">
        <v>261</v>
      </c>
      <c r="C9" s="19" t="s">
        <v>248</v>
      </c>
      <c r="D9" s="19" t="s">
        <v>248</v>
      </c>
      <c r="E9" s="19" t="s">
        <v>248</v>
      </c>
    </row>
    <row r="12" customFormat="false" ht="15" hidden="false" customHeight="true" outlineLevel="0" collapsed="false">
      <c r="A12" s="10" t="s">
        <v>262</v>
      </c>
    </row>
    <row r="13" customFormat="false" ht="15" hidden="false" customHeight="true" outlineLevel="0" collapsed="false">
      <c r="A13" s="4" t="s">
        <v>140</v>
      </c>
      <c r="B13" s="4" t="s">
        <v>263</v>
      </c>
    </row>
    <row r="14" customFormat="false" ht="15" hidden="false" customHeight="true" outlineLevel="0" collapsed="false">
      <c r="A14" s="20" t="s">
        <v>158</v>
      </c>
      <c r="B14" s="20" t="s">
        <v>264</v>
      </c>
    </row>
    <row r="15" customFormat="false" ht="15" hidden="false" customHeight="true" outlineLevel="0" collapsed="false">
      <c r="A15" s="20" t="s">
        <v>153</v>
      </c>
      <c r="B15" s="20" t="s">
        <v>265</v>
      </c>
    </row>
    <row r="16" customFormat="false" ht="15" hidden="false" customHeight="true" outlineLevel="0" collapsed="false">
      <c r="A16" s="20" t="s">
        <v>191</v>
      </c>
      <c r="B16" s="20" t="s">
        <v>266</v>
      </c>
    </row>
    <row r="17" customFormat="false" ht="15" hidden="false" customHeight="true" outlineLevel="0" collapsed="false">
      <c r="A17" s="20" t="s">
        <v>267</v>
      </c>
      <c r="B17" s="20" t="s">
        <v>268</v>
      </c>
    </row>
    <row r="18" customFormat="false" ht="15" hidden="false" customHeight="true" outlineLevel="0" collapsed="false">
      <c r="A18" s="20" t="s">
        <v>168</v>
      </c>
      <c r="B18" s="20" t="s">
        <v>269</v>
      </c>
    </row>
    <row r="19" customFormat="false" ht="15" hidden="false" customHeight="true" outlineLevel="0" collapsed="false">
      <c r="A19" s="20" t="s">
        <v>270</v>
      </c>
      <c r="B19" s="20" t="s">
        <v>271</v>
      </c>
    </row>
    <row r="21" customFormat="false" ht="15.75" hidden="false" customHeight="true" outlineLevel="0" collapsed="false"/>
    <row r="22" customFormat="false" ht="15.75" hidden="false" customHeight="true" outlineLevel="0" collapsed="false">
      <c r="A22" s="10" t="s">
        <v>272</v>
      </c>
    </row>
    <row r="23" customFormat="false" ht="15.75" hidden="false" customHeight="true" outlineLevel="0" collapsed="false">
      <c r="A23" s="4" t="s">
        <v>4</v>
      </c>
      <c r="B23" s="4" t="s">
        <v>273</v>
      </c>
      <c r="C23" s="4" t="s">
        <v>274</v>
      </c>
    </row>
    <row r="24" customFormat="false" ht="48" hidden="false" customHeight="true" outlineLevel="0" collapsed="false">
      <c r="A24" s="5" t="s">
        <v>12</v>
      </c>
      <c r="B24" s="5" t="s">
        <v>275</v>
      </c>
      <c r="C24" s="5" t="s">
        <v>276</v>
      </c>
    </row>
    <row r="25" customFormat="false" ht="48" hidden="false" customHeight="true" outlineLevel="0" collapsed="false">
      <c r="A25" s="6" t="s">
        <v>19</v>
      </c>
      <c r="B25" s="6" t="s">
        <v>277</v>
      </c>
      <c r="C25" s="6" t="s">
        <v>278</v>
      </c>
    </row>
    <row r="26" customFormat="false" ht="48" hidden="false" customHeight="true" outlineLevel="0" collapsed="false">
      <c r="A26" s="7" t="s">
        <v>26</v>
      </c>
      <c r="B26" s="7" t="s">
        <v>279</v>
      </c>
      <c r="C26" s="7" t="s">
        <v>280</v>
      </c>
    </row>
    <row r="27" customFormat="false" ht="48" hidden="false" customHeight="true" outlineLevel="0" collapsed="false">
      <c r="A27" s="8" t="s">
        <v>32</v>
      </c>
      <c r="B27" s="8" t="s">
        <v>281</v>
      </c>
      <c r="C27" s="8" t="s">
        <v>282</v>
      </c>
    </row>
    <row r="28" customFormat="false" ht="48" hidden="false" customHeight="true" outlineLevel="0" collapsed="false">
      <c r="A28" s="9" t="s">
        <v>39</v>
      </c>
      <c r="B28" s="9" t="s">
        <v>283</v>
      </c>
      <c r="C28" s="9" t="s">
        <v>284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6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tr">
        <f aca="false">"Taula de ritmes — " &amp; B4</f>
        <v>Taula de ritmes — Jep</v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24" t="s">
        <v>285</v>
      </c>
      <c r="B2" s="24"/>
      <c r="C2" s="24"/>
      <c r="D2" s="24"/>
      <c r="E2" s="24"/>
      <c r="F2" s="24"/>
    </row>
    <row r="3" customFormat="false" ht="15" hidden="false" customHeight="true" outlineLevel="0" collapsed="false">
      <c r="A3" s="25" t="s">
        <v>286</v>
      </c>
      <c r="B3" s="25"/>
      <c r="C3" s="25"/>
      <c r="D3" s="25"/>
      <c r="E3" s="25"/>
      <c r="F3" s="25"/>
    </row>
    <row r="4" customFormat="false" ht="15" hidden="false" customHeight="true" outlineLevel="0" collapsed="false">
      <c r="A4" s="26" t="s">
        <v>287</v>
      </c>
      <c r="B4" s="27" t="s">
        <v>288</v>
      </c>
    </row>
    <row r="5" customFormat="false" ht="15" hidden="false" customHeight="true" outlineLevel="0" collapsed="false">
      <c r="A5" s="26" t="s">
        <v>289</v>
      </c>
      <c r="B5" s="27" t="n">
        <v>60</v>
      </c>
    </row>
    <row r="6" customFormat="false" ht="15" hidden="false" customHeight="false" outlineLevel="0" collapsed="false">
      <c r="A6" s="28" t="s">
        <v>290</v>
      </c>
      <c r="B6" s="29" t="s">
        <v>291</v>
      </c>
      <c r="C6" s="30" t="s">
        <v>292</v>
      </c>
    </row>
    <row r="7" customFormat="false" ht="15" hidden="false" customHeight="true" outlineLevel="0" collapsed="false">
      <c r="A7" s="25" t="s">
        <v>293</v>
      </c>
      <c r="B7" s="25"/>
      <c r="C7" s="25"/>
      <c r="D7" s="25"/>
      <c r="E7" s="25"/>
      <c r="F7" s="25"/>
    </row>
    <row r="8" customFormat="false" ht="18.75" hidden="false" customHeight="true" outlineLevel="0" collapsed="false">
      <c r="A8" s="26" t="s">
        <v>294</v>
      </c>
      <c r="B8" s="27"/>
      <c r="C8" s="31" t="s">
        <v>295</v>
      </c>
    </row>
    <row r="9" customFormat="false" ht="18.75" hidden="false" customHeight="true" outlineLevel="0" collapsed="false">
      <c r="A9" s="26" t="s">
        <v>296</v>
      </c>
      <c r="B9" s="27"/>
      <c r="C9" s="31" t="s">
        <v>297</v>
      </c>
    </row>
    <row r="10" customFormat="false" ht="36.75" hidden="false" customHeight="true" outlineLevel="0" collapsed="false">
      <c r="A10" s="26" t="s">
        <v>298</v>
      </c>
      <c r="B10" s="27"/>
      <c r="C10" s="31" t="s">
        <v>299</v>
      </c>
    </row>
    <row r="11" customFormat="false" ht="36.75" hidden="false" customHeight="true" outlineLevel="0" collapsed="false">
      <c r="A11" s="26" t="s">
        <v>300</v>
      </c>
      <c r="B11" s="32" t="str">
        <f aca="false">IF(AND(B9&lt;&gt;"",B10&lt;&gt;""),(400-200)/(B9-B10),"")</f>
        <v/>
      </c>
      <c r="C11" s="31" t="s">
        <v>301</v>
      </c>
    </row>
    <row r="12" customFormat="false" ht="15" hidden="false" customHeight="true" outlineLevel="0" collapsed="false">
      <c r="A12" s="26" t="s">
        <v>302</v>
      </c>
      <c r="B12" s="32" t="str">
        <f aca="false">IF(B11&lt;&gt;"",100/B11,"")</f>
        <v/>
      </c>
    </row>
    <row r="14" customFormat="false" ht="15" hidden="false" customHeight="true" outlineLevel="0" collapsed="false">
      <c r="A14" s="25" t="s">
        <v>303</v>
      </c>
      <c r="B14" s="25"/>
      <c r="C14" s="25"/>
      <c r="D14" s="25"/>
      <c r="E14" s="25"/>
      <c r="F14" s="25"/>
    </row>
    <row r="15" customFormat="false" ht="18.75" hidden="false" customHeight="true" outlineLevel="0" collapsed="false">
      <c r="A15" s="26" t="s">
        <v>304</v>
      </c>
      <c r="B15" s="27" t="n">
        <v>77.08</v>
      </c>
      <c r="C15" s="31" t="s">
        <v>305</v>
      </c>
    </row>
    <row r="16" customFormat="false" ht="15" hidden="false" customHeight="true" outlineLevel="0" collapsed="false">
      <c r="A16" s="26" t="s">
        <v>306</v>
      </c>
      <c r="B16" s="32" t="str">
        <f aca="false">TEXT(INT(B15/60),"0")&amp;"'"&amp;TEXT(MOD(B15,60),"00.00")&amp;""""""</f>
        <v>1'17.08""</v>
      </c>
    </row>
    <row r="18" customFormat="false" ht="15" hidden="false" customHeight="true" outlineLevel="0" collapsed="false">
      <c r="A18" s="25" t="s">
        <v>307</v>
      </c>
      <c r="B18" s="25"/>
      <c r="C18" s="25"/>
      <c r="D18" s="25"/>
      <c r="E18" s="25"/>
      <c r="F18" s="25"/>
    </row>
    <row r="19" customFormat="false" ht="15" hidden="false" customHeight="true" outlineLevel="0" collapsed="false">
      <c r="A19" s="26" t="s">
        <v>308</v>
      </c>
      <c r="B19" s="27" t="s">
        <v>309</v>
      </c>
    </row>
    <row r="20" customFormat="false" ht="72.75" hidden="false" customHeight="true" outlineLevel="0" collapsed="false">
      <c r="A20" s="26" t="s">
        <v>310</v>
      </c>
      <c r="B20" s="27" t="n">
        <v>33.44</v>
      </c>
      <c r="C20" s="31" t="s">
        <v>311</v>
      </c>
    </row>
    <row r="21" customFormat="false" ht="15" hidden="false" customHeight="true" outlineLevel="0" collapsed="false">
      <c r="A21" s="26" t="s">
        <v>312</v>
      </c>
      <c r="B21" s="27" t="s">
        <v>313</v>
      </c>
    </row>
    <row r="22" customFormat="false" ht="15" hidden="false" customHeight="true" outlineLevel="0" collapsed="false">
      <c r="A22" s="26" t="s">
        <v>314</v>
      </c>
      <c r="B22" s="27" t="s">
        <v>315</v>
      </c>
    </row>
    <row r="24" customFormat="false" ht="15" hidden="false" customHeight="true" outlineLevel="0" collapsed="false">
      <c r="A24" s="25" t="s">
        <v>316</v>
      </c>
      <c r="B24" s="25"/>
      <c r="C24" s="25"/>
      <c r="D24" s="25"/>
      <c r="E24" s="25"/>
      <c r="F24" s="25"/>
    </row>
    <row r="25" customFormat="false" ht="15" hidden="false" customHeight="true" outlineLevel="0" collapsed="false">
      <c r="A25" s="26" t="s">
        <v>317</v>
      </c>
      <c r="B25" s="27" t="n">
        <v>0.015</v>
      </c>
    </row>
    <row r="26" customFormat="false" ht="15" hidden="false" customHeight="true" outlineLevel="0" collapsed="false">
      <c r="A26" s="26" t="s">
        <v>318</v>
      </c>
      <c r="B26" s="27" t="n">
        <v>0.065</v>
      </c>
    </row>
    <row r="27" customFormat="false" ht="15" hidden="false" customHeight="true" outlineLevel="0" collapsed="false">
      <c r="A27" s="26" t="s">
        <v>319</v>
      </c>
      <c r="B27" s="27" t="n">
        <v>0.13</v>
      </c>
    </row>
    <row r="28" customFormat="false" ht="54.75" hidden="false" customHeight="true" outlineLevel="0" collapsed="false">
      <c r="A28" s="26" t="s">
        <v>320</v>
      </c>
      <c r="B28" s="27" t="n">
        <v>0.2</v>
      </c>
      <c r="C28" s="31" t="s">
        <v>321</v>
      </c>
    </row>
    <row r="29" customFormat="false" ht="99.75" hidden="false" customHeight="true" outlineLevel="0" collapsed="false">
      <c r="A29" s="26" t="s">
        <v>322</v>
      </c>
      <c r="B29" s="27" t="n">
        <v>0.85</v>
      </c>
      <c r="C29" s="31" t="s">
        <v>323</v>
      </c>
    </row>
    <row r="30" customFormat="false" ht="15" hidden="false" customHeight="true" outlineLevel="0" collapsed="false">
      <c r="A30" s="26" t="s">
        <v>324</v>
      </c>
      <c r="B30" s="27" t="n">
        <v>2.02</v>
      </c>
    </row>
    <row r="31" customFormat="false" ht="15" hidden="false" customHeight="true" outlineLevel="0" collapsed="false">
      <c r="A31" s="26" t="s">
        <v>325</v>
      </c>
      <c r="B31" s="27" t="n">
        <v>2.04</v>
      </c>
    </row>
    <row r="32" customFormat="false" ht="15" hidden="false" customHeight="true" outlineLevel="0" collapsed="false">
      <c r="A32" s="26" t="s">
        <v>326</v>
      </c>
      <c r="B32" s="27" t="n">
        <v>0.1</v>
      </c>
    </row>
    <row r="33" customFormat="false" ht="15" hidden="false" customHeight="true" outlineLevel="0" collapsed="false">
      <c r="A33" s="26" t="s">
        <v>327</v>
      </c>
      <c r="B33" s="27" t="n">
        <v>0.11</v>
      </c>
    </row>
    <row r="34" customFormat="false" ht="15" hidden="false" customHeight="true" outlineLevel="0" collapsed="false">
      <c r="A34" s="26" t="s">
        <v>328</v>
      </c>
      <c r="B34" s="27" t="n">
        <v>0.15</v>
      </c>
    </row>
    <row r="35" customFormat="false" ht="15" hidden="false" customHeight="true" outlineLevel="0" collapsed="false">
      <c r="A35" s="26" t="s">
        <v>329</v>
      </c>
      <c r="B35" s="27" t="n">
        <v>0.2</v>
      </c>
    </row>
    <row r="37" customFormat="false" ht="15" hidden="false" customHeight="true" outlineLevel="0" collapsed="false">
      <c r="A37" s="25" t="s">
        <v>330</v>
      </c>
      <c r="B37" s="25"/>
      <c r="C37" s="25"/>
      <c r="D37" s="25"/>
      <c r="E37" s="25"/>
      <c r="F37" s="25"/>
    </row>
    <row r="38" customFormat="false" ht="15" hidden="false" customHeight="true" outlineLevel="0" collapsed="false">
      <c r="A38" s="26" t="s">
        <v>331</v>
      </c>
      <c r="B38" s="27" t="n">
        <v>12</v>
      </c>
    </row>
    <row r="39" customFormat="false" ht="15" hidden="false" customHeight="true" outlineLevel="0" collapsed="false">
      <c r="A39" s="26" t="s">
        <v>332</v>
      </c>
      <c r="B39" s="27" t="n">
        <v>6</v>
      </c>
    </row>
    <row r="40" customFormat="false" ht="15" hidden="false" customHeight="true" outlineLevel="0" collapsed="false">
      <c r="A40" s="26" t="s">
        <v>333</v>
      </c>
      <c r="B40" s="27" t="n">
        <v>0</v>
      </c>
    </row>
    <row r="41" customFormat="false" ht="15" hidden="false" customHeight="true" outlineLevel="0" collapsed="false">
      <c r="A41" s="26" t="s">
        <v>334</v>
      </c>
      <c r="B41" s="27" t="n">
        <v>-4</v>
      </c>
    </row>
    <row r="43" customFormat="false" ht="15" hidden="false" customHeight="true" outlineLevel="0" collapsed="false">
      <c r="A43" s="25" t="s">
        <v>335</v>
      </c>
      <c r="B43" s="25"/>
      <c r="C43" s="25"/>
      <c r="D43" s="25"/>
      <c r="E43" s="25"/>
      <c r="F43" s="25"/>
    </row>
    <row r="44" customFormat="false" ht="15" hidden="false" customHeight="true" outlineLevel="0" collapsed="false">
      <c r="A44" s="26" t="s">
        <v>336</v>
      </c>
      <c r="B44" s="32" t="str">
        <f aca="false">IF(AND(B9&lt;&gt;"",B10&lt;&gt;""),"Test CSS ("&amp;TEXT(B8,"dd/mm/yyyy")&amp;")","Estimat per millor marca (provisional)")</f>
        <v>Estimat per millor marca (provisional)</v>
      </c>
    </row>
    <row r="46" customFormat="false" ht="15" hidden="false" customHeight="true" outlineLevel="0" collapsed="false">
      <c r="A46" s="25" t="s">
        <v>337</v>
      </c>
      <c r="B46" s="25"/>
      <c r="C46" s="25"/>
      <c r="D46" s="25"/>
      <c r="E46" s="25"/>
      <c r="F46" s="25"/>
    </row>
    <row r="47" customFormat="false" ht="15" hidden="false" customHeight="true" outlineLevel="0" collapsed="false">
      <c r="A47" s="33" t="s">
        <v>338</v>
      </c>
      <c r="B47" s="33" t="s">
        <v>339</v>
      </c>
      <c r="C47" s="33" t="s">
        <v>340</v>
      </c>
    </row>
    <row r="48" customFormat="false" ht="15" hidden="false" customHeight="true" outlineLevel="0" collapsed="false">
      <c r="A48" s="34" t="s">
        <v>341</v>
      </c>
      <c r="B48" s="32" t="n">
        <f aca="false">IF(AND($B$9&lt;&gt;"",$B$10&lt;&gt;""),$B$12+$B$38,$B$15*(1+$B$28))</f>
        <v>92.496</v>
      </c>
      <c r="C48" s="32" t="str">
        <f aca="false">TEXT(INT(B48/60),"0")&amp;"'"&amp;TEXT(MOD(B48,60),"00.00")&amp;""""""</f>
        <v>1'32.50""</v>
      </c>
    </row>
    <row r="49" customFormat="false" ht="15" hidden="false" customHeight="true" outlineLevel="0" collapsed="false">
      <c r="A49" s="34" t="s">
        <v>342</v>
      </c>
      <c r="B49" s="32" t="n">
        <f aca="false">IF(AND($B$9&lt;&gt;"",$B$10&lt;&gt;""),$B$12+$B$39,$B$15*(1+$B$27))</f>
        <v>87.1004</v>
      </c>
      <c r="C49" s="32" t="str">
        <f aca="false">TEXT(INT(B49/60),"0")&amp;"'"&amp;TEXT(MOD(B49,60),"00.00")&amp;""""""</f>
        <v>1'27.10""</v>
      </c>
    </row>
    <row r="50" customFormat="false" ht="15" hidden="false" customHeight="true" outlineLevel="0" collapsed="false">
      <c r="A50" s="34" t="s">
        <v>343</v>
      </c>
      <c r="B50" s="32" t="n">
        <f aca="false">IF(AND($B$9&lt;&gt;"",$B$10&lt;&gt;""),$B$12+$B$40,$B$15*(1+$B$26))</f>
        <v>82.0902</v>
      </c>
      <c r="C50" s="32" t="str">
        <f aca="false">TEXT(INT(B50/60),"0")&amp;"'"&amp;TEXT(MOD(B50,60),"00.00")&amp;""""""</f>
        <v>1'22.09""</v>
      </c>
    </row>
    <row r="51" customFormat="false" ht="15" hidden="false" customHeight="true" outlineLevel="0" collapsed="false">
      <c r="A51" s="34" t="s">
        <v>344</v>
      </c>
      <c r="B51" s="32" t="n">
        <f aca="false">IF(AND($B$9&lt;&gt;"",$B$10&lt;&gt;""),$B$12+$B$41,$B$15*(1+$B$25))</f>
        <v>78.2362</v>
      </c>
      <c r="C51" s="32" t="str">
        <f aca="false">TEXT(INT(B51/60),"0")&amp;"'"&amp;TEXT(MOD(B51,60),"00.00")&amp;""""""</f>
        <v>1'18.24""</v>
      </c>
    </row>
    <row r="52" customFormat="false" ht="15" hidden="false" customHeight="true" outlineLevel="0" collapsed="false">
      <c r="A52" s="34" t="s">
        <v>345</v>
      </c>
      <c r="B52" s="32" t="n">
        <f aca="false">IF(AND($B$9&lt;&gt;"",$B$10&lt;&gt;""),$B$12*$B$29,$B$20*$B$30)</f>
        <v>67.5488</v>
      </c>
      <c r="C52" s="32" t="str">
        <f aca="false">TEXT(INT(B52/60),"0")&amp;"'"&amp;TEXT(MOD(B52,60),"00.00")&amp;""""""</f>
        <v>1'07.55""</v>
      </c>
    </row>
    <row r="54" customFormat="false" ht="15" hidden="false" customHeight="true" outlineLevel="0" collapsed="false">
      <c r="A54" s="25" t="s">
        <v>346</v>
      </c>
      <c r="B54" s="25"/>
      <c r="C54" s="25"/>
      <c r="D54" s="25"/>
      <c r="E54" s="25"/>
      <c r="F54" s="25"/>
    </row>
    <row r="55" customFormat="false" ht="15" hidden="false" customHeight="true" outlineLevel="0" collapsed="false">
      <c r="A55" s="33" t="s">
        <v>347</v>
      </c>
      <c r="B55" s="33" t="s">
        <v>341</v>
      </c>
      <c r="C55" s="33" t="s">
        <v>148</v>
      </c>
      <c r="D55" s="33" t="s">
        <v>192</v>
      </c>
      <c r="E55" s="33" t="s">
        <v>348</v>
      </c>
      <c r="F55" s="33" t="s">
        <v>349</v>
      </c>
    </row>
    <row r="56" customFormat="false" ht="15" hidden="false" customHeight="true" outlineLevel="0" collapsed="false">
      <c r="A56" s="35" t="s">
        <v>350</v>
      </c>
      <c r="B56" s="32" t="n">
        <f aca="false">$B$48/$B$30</f>
        <v>45.790099009901</v>
      </c>
      <c r="C56" s="32" t="n">
        <f aca="false">$B$49/$B$30</f>
        <v>43.1190099009901</v>
      </c>
      <c r="D56" s="32" t="n">
        <f aca="false">$B$50/$B$30</f>
        <v>40.6387128712871</v>
      </c>
      <c r="E56" s="32" t="n">
        <f aca="false">$B$51/$B$30</f>
        <v>38.7307920792079</v>
      </c>
      <c r="F56" s="32" t="n">
        <f aca="false">$B$52/$B$30</f>
        <v>33.44</v>
      </c>
    </row>
    <row r="57" customFormat="false" ht="15" hidden="false" customHeight="true" outlineLevel="0" collapsed="false">
      <c r="A57" s="35" t="s">
        <v>351</v>
      </c>
      <c r="B57" s="32" t="n">
        <f aca="false">$B$48</f>
        <v>92.496</v>
      </c>
      <c r="C57" s="32" t="n">
        <f aca="false">$B$49</f>
        <v>87.1004</v>
      </c>
      <c r="D57" s="32" t="n">
        <f aca="false">$B$50</f>
        <v>82.0902</v>
      </c>
      <c r="E57" s="32" t="n">
        <f aca="false">$B$51</f>
        <v>78.2362</v>
      </c>
      <c r="F57" s="32" t="n">
        <f aca="false">$B$52</f>
        <v>67.5488</v>
      </c>
    </row>
    <row r="58" customFormat="false" ht="15" hidden="false" customHeight="true" outlineLevel="0" collapsed="false">
      <c r="A58" s="35" t="s">
        <v>352</v>
      </c>
      <c r="B58" s="32" t="n">
        <f aca="false">$B$48*$B$31</f>
        <v>188.69184</v>
      </c>
      <c r="C58" s="32" t="n">
        <f aca="false">$B$49*$B$31</f>
        <v>177.684816</v>
      </c>
      <c r="D58" s="32" t="n">
        <f aca="false">$B$50*$B$31</f>
        <v>167.464008</v>
      </c>
      <c r="E58" s="32" t="n">
        <f aca="false">$B$51*$B$31</f>
        <v>159.601848</v>
      </c>
      <c r="F58" s="32" t="n">
        <f aca="false">$B$52*$B$31</f>
        <v>137.799552</v>
      </c>
    </row>
    <row r="60" customFormat="false" ht="15" hidden="false" customHeight="true" outlineLevel="0" collapsed="false">
      <c r="A60" s="25" t="s">
        <v>353</v>
      </c>
      <c r="B60" s="25"/>
      <c r="C60" s="25"/>
      <c r="D60" s="25"/>
      <c r="E60" s="25"/>
      <c r="F60" s="25"/>
    </row>
    <row r="61" customFormat="false" ht="15" hidden="false" customHeight="true" outlineLevel="0" collapsed="false">
      <c r="A61" s="33" t="s">
        <v>347</v>
      </c>
      <c r="B61" s="33" t="s">
        <v>341</v>
      </c>
      <c r="C61" s="33" t="s">
        <v>148</v>
      </c>
      <c r="D61" s="33" t="s">
        <v>192</v>
      </c>
      <c r="E61" s="33" t="s">
        <v>348</v>
      </c>
      <c r="F61" s="33" t="s">
        <v>349</v>
      </c>
    </row>
    <row r="62" customFormat="false" ht="15" hidden="false" customHeight="true" outlineLevel="0" collapsed="false">
      <c r="A62" s="32" t="str">
        <f aca="false">A56</f>
        <v>50m</v>
      </c>
      <c r="B62" s="32" t="str">
        <f aca="false">TEXT(INT(B56/60),"0")&amp;"'"&amp;TEXT(MOD(B56,60),"00.00")&amp;""""""</f>
        <v>0'45.79""</v>
      </c>
      <c r="C62" s="32" t="str">
        <f aca="false">TEXT(INT(C56/60),"0")&amp;"'"&amp;TEXT(MOD(C56,60),"00.00")&amp;""""""</f>
        <v>0'43.12""</v>
      </c>
      <c r="D62" s="32" t="str">
        <f aca="false">TEXT(INT(D56/60),"0")&amp;"'"&amp;TEXT(MOD(D56,60),"00.00")&amp;""""""</f>
        <v>0'40.64""</v>
      </c>
      <c r="E62" s="32" t="str">
        <f aca="false">TEXT(INT(E56/60),"0")&amp;"'"&amp;TEXT(MOD(E56,60),"00.00")&amp;""""""</f>
        <v>0'38.73""</v>
      </c>
      <c r="F62" s="32" t="str">
        <f aca="false">TEXT(INT(F56/60),"0")&amp;"'"&amp;TEXT(MOD(F56,60),"00.00")&amp;""""""</f>
        <v>0'33.44""</v>
      </c>
    </row>
    <row r="63" customFormat="false" ht="15" hidden="false" customHeight="true" outlineLevel="0" collapsed="false">
      <c r="A63" s="32" t="str">
        <f aca="false">A57</f>
        <v>100m</v>
      </c>
      <c r="B63" s="32" t="str">
        <f aca="false">TEXT(INT(B57/60),"0")&amp;"'"&amp;TEXT(MOD(B57,60),"00.00")&amp;""""""</f>
        <v>1'32.50""</v>
      </c>
      <c r="C63" s="32" t="str">
        <f aca="false">TEXT(INT(C57/60),"0")&amp;"'"&amp;TEXT(MOD(C57,60),"00.00")&amp;""""""</f>
        <v>1'27.10""</v>
      </c>
      <c r="D63" s="32" t="str">
        <f aca="false">TEXT(INT(D57/60),"0")&amp;"'"&amp;TEXT(MOD(D57,60),"00.00")&amp;""""""</f>
        <v>1'22.09""</v>
      </c>
      <c r="E63" s="32" t="str">
        <f aca="false">TEXT(INT(E57/60),"0")&amp;"'"&amp;TEXT(MOD(E57,60),"00.00")&amp;""""""</f>
        <v>1'18.24""</v>
      </c>
      <c r="F63" s="32" t="str">
        <f aca="false">TEXT(INT(F57/60),"0")&amp;"'"&amp;TEXT(MOD(F57,60),"00.00")&amp;""""""</f>
        <v>1'07.55""</v>
      </c>
    </row>
    <row r="64" customFormat="false" ht="15" hidden="false" customHeight="true" outlineLevel="0" collapsed="false">
      <c r="A64" s="32" t="str">
        <f aca="false">A58</f>
        <v>200m</v>
      </c>
      <c r="B64" s="32" t="str">
        <f aca="false">TEXT(INT(B58/60),"0")&amp;"'"&amp;TEXT(MOD(B58,60),"00.00")&amp;""""""</f>
        <v>3'08.69""</v>
      </c>
      <c r="C64" s="32" t="str">
        <f aca="false">TEXT(INT(C58/60),"0")&amp;"'"&amp;TEXT(MOD(C58,60),"00.00")&amp;""""""</f>
        <v>2'57.68""</v>
      </c>
      <c r="D64" s="32" t="str">
        <f aca="false">TEXT(INT(D58/60),"0")&amp;"'"&amp;TEXT(MOD(D58,60),"00.00")&amp;""""""</f>
        <v>2'47.46""</v>
      </c>
      <c r="E64" s="32" t="str">
        <f aca="false">TEXT(INT(E58/60),"0")&amp;"'"&amp;TEXT(MOD(E58,60),"00.00")&amp;""""""</f>
        <v>2'39.60""</v>
      </c>
      <c r="F64" s="32" t="str">
        <f aca="false">TEXT(INT(F58/60),"0")&amp;"'"&amp;TEXT(MOD(F58,60),"00.00")&amp;""""""</f>
        <v>2'17.80""</v>
      </c>
    </row>
    <row r="66" customFormat="false" ht="15" hidden="false" customHeight="true" outlineLevel="0" collapsed="false">
      <c r="A66" s="25" t="s">
        <v>354</v>
      </c>
      <c r="B66" s="25"/>
      <c r="C66" s="25"/>
      <c r="D66" s="25"/>
      <c r="E66" s="25"/>
      <c r="F66" s="25"/>
    </row>
    <row r="67" customFormat="false" ht="15" hidden="false" customHeight="true" outlineLevel="0" collapsed="false">
      <c r="A67" s="33" t="s">
        <v>338</v>
      </c>
      <c r="B67" s="33" t="s">
        <v>355</v>
      </c>
      <c r="C67" s="33" t="s">
        <v>356</v>
      </c>
      <c r="D67" s="33" t="s">
        <v>357</v>
      </c>
    </row>
    <row r="68" customFormat="false" ht="15" hidden="false" customHeight="true" outlineLevel="0" collapsed="false">
      <c r="A68" s="34" t="s">
        <v>341</v>
      </c>
      <c r="B68" s="32" t="str">
        <f aca="false">TEXT(INT(B48/60),"0")&amp;"'"&amp;TEXT(MOD(B48,60),"00.00")&amp;""""""</f>
        <v>1'32.50""</v>
      </c>
      <c r="C68" s="32" t="str">
        <f aca="false">TEXT(INT((B48*(1+$B$32))/60),"0")&amp;"'"&amp;TEXT(MOD(B48*(1+$B$32),60),"00.00")&amp;""" ~ "&amp;TEXT(INT((B48*(1+$B$33))/60),"0")&amp;"'"&amp;TEXT(MOD(B48*(1+$B$33),60),"00.00")&amp;""""""</f>
        <v>1'41.75" ~ 1'42.67""</v>
      </c>
      <c r="D68" s="32" t="str">
        <f aca="false">TEXT(INT((B48*(1+$B$34))/60),"0")&amp;"'"&amp;TEXT(MOD(B48*(1+$B$34),60),"00.00")&amp;""" ~ "&amp;TEXT(INT((B48*(1+$B$35))/60),"0")&amp;"'"&amp;TEXT(MOD(B48*(1+$B$35),60),"00.00")&amp;""""""</f>
        <v>1'46.37" ~ 1'51.00""</v>
      </c>
    </row>
    <row r="69" customFormat="false" ht="15" hidden="false" customHeight="true" outlineLevel="0" collapsed="false">
      <c r="A69" s="34" t="s">
        <v>148</v>
      </c>
      <c r="B69" s="32" t="str">
        <f aca="false">TEXT(INT(B49/60),"0")&amp;"'"&amp;TEXT(MOD(B49,60),"00.00")&amp;""""""</f>
        <v>1'27.10""</v>
      </c>
      <c r="C69" s="32" t="str">
        <f aca="false">TEXT(INT((B49*(1+$B$32))/60),"0")&amp;"'"&amp;TEXT(MOD(B49*(1+$B$32),60),"00.00")&amp;""" ~ "&amp;TEXT(INT((B49*(1+$B$33))/60),"0")&amp;"'"&amp;TEXT(MOD(B49*(1+$B$33),60),"00.00")&amp;""""""</f>
        <v>1'35.81" ~ 1'36.68""</v>
      </c>
      <c r="D69" s="32" t="str">
        <f aca="false">TEXT(INT((B49*(1+$B$34))/60),"0")&amp;"'"&amp;TEXT(MOD(B49*(1+$B$34),60),"00.00")&amp;""" ~ "&amp;TEXT(INT((B49*(1+$B$35))/60),"0")&amp;"'"&amp;TEXT(MOD(B49*(1+$B$35),60),"00.00")&amp;""""""</f>
        <v>1'40.17" ~ 1'44.52""</v>
      </c>
    </row>
    <row r="70" customFormat="false" ht="15" hidden="false" customHeight="true" outlineLevel="0" collapsed="false">
      <c r="A70" s="34" t="s">
        <v>192</v>
      </c>
      <c r="B70" s="32" t="str">
        <f aca="false">TEXT(INT(B50/60),"0")&amp;"'"&amp;TEXT(MOD(B50,60),"00.00")&amp;""""""</f>
        <v>1'22.09""</v>
      </c>
      <c r="C70" s="32" t="str">
        <f aca="false">TEXT(INT((B50*(1+$B$32))/60),"0")&amp;"'"&amp;TEXT(MOD(B50*(1+$B$32),60),"00.00")&amp;""" ~ "&amp;TEXT(INT((B50*(1+$B$33))/60),"0")&amp;"'"&amp;TEXT(MOD(B50*(1+$B$33),60),"00.00")&amp;""""""</f>
        <v>1'30.30" ~ 1'31.12""</v>
      </c>
      <c r="D70" s="32" t="str">
        <f aca="false">TEXT(INT((B50*(1+$B$34))/60),"0")&amp;"'"&amp;TEXT(MOD(B50*(1+$B$34),60),"00.00")&amp;""" ~ "&amp;TEXT(INT((B50*(1+$B$35))/60),"0")&amp;"'"&amp;TEXT(MOD(B50*(1+$B$35),60),"00.00")&amp;""""""</f>
        <v>1'34.40" ~ 1'38.51""</v>
      </c>
    </row>
    <row r="71" customFormat="false" ht="15" hidden="false" customHeight="true" outlineLevel="0" collapsed="false">
      <c r="A71" s="34" t="s">
        <v>348</v>
      </c>
      <c r="B71" s="32" t="str">
        <f aca="false">TEXT(INT(B51/60),"0")&amp;"'"&amp;TEXT(MOD(B51,60),"00.00")&amp;""""""</f>
        <v>1'18.24""</v>
      </c>
      <c r="C71" s="32" t="str">
        <f aca="false">TEXT(INT((B51*(1+$B$32))/60),"0")&amp;"'"&amp;TEXT(MOD(B51*(1+$B$32),60),"00.00")&amp;""" ~ "&amp;TEXT(INT((B51*(1+$B$33))/60),"0")&amp;"'"&amp;TEXT(MOD(B51*(1+$B$33),60),"00.00")&amp;""""""</f>
        <v>1'26.06" ~ 1'26.84""</v>
      </c>
      <c r="D71" s="32" t="str">
        <f aca="false">TEXT(INT((B51*(1+$B$34))/60),"0")&amp;"'"&amp;TEXT(MOD(B51*(1+$B$34),60),"00.00")&amp;""" ~ "&amp;TEXT(INT((B51*(1+$B$35))/60),"0")&amp;"'"&amp;TEXT(MOD(B51*(1+$B$35),60),"00.00")&amp;""""""</f>
        <v>1'29.97" ~ 1'33.88""</v>
      </c>
    </row>
    <row r="72" customFormat="false" ht="15" hidden="false" customHeight="true" outlineLevel="0" collapsed="false">
      <c r="A72" s="34" t="s">
        <v>349</v>
      </c>
      <c r="B72" s="32" t="str">
        <f aca="false">TEXT(INT(B52/60),"0")&amp;"'"&amp;TEXT(MOD(B52,60),"00.00")&amp;""""""</f>
        <v>1'07.55""</v>
      </c>
      <c r="C72" s="32" t="str">
        <f aca="false">TEXT(INT((B52*(1+$B$32))/60),"0")&amp;"'"&amp;TEXT(MOD(B52*(1+$B$32),60),"00.00")&amp;""" ~ "&amp;TEXT(INT((B52*(1+$B$33))/60),"0")&amp;"'"&amp;TEXT(MOD(B52*(1+$B$33),60),"00.00")&amp;""""""</f>
        <v>1'14.30" ~ 1'14.98""</v>
      </c>
      <c r="D72" s="32" t="str">
        <f aca="false">TEXT(INT((B52*(1+$B$34))/60),"0")&amp;"'"&amp;TEXT(MOD(B52*(1+$B$34),60),"00.00")&amp;""" ~ "&amp;TEXT(INT((B52*(1+$B$35))/60),"0")&amp;"'"&amp;TEXT(MOD(B52*(1+$B$35),60),"00.00")&amp;""""""</f>
        <v>1'17.68" ~ 1'21.06""</v>
      </c>
    </row>
    <row r="74" customFormat="false" ht="15" hidden="false" customHeight="true" outlineLevel="0" collapsed="false">
      <c r="A74" s="25" t="s">
        <v>358</v>
      </c>
      <c r="B74" s="25"/>
      <c r="C74" s="25"/>
      <c r="D74" s="25"/>
      <c r="E74" s="25"/>
      <c r="F74" s="25"/>
    </row>
    <row r="75" customFormat="false" ht="15" hidden="false" customHeight="true" outlineLevel="0" collapsed="false">
      <c r="A75" s="33" t="s">
        <v>359</v>
      </c>
      <c r="B75" s="33" t="s">
        <v>360</v>
      </c>
      <c r="C75" s="33" t="s">
        <v>361</v>
      </c>
      <c r="D75" s="33" t="s">
        <v>362</v>
      </c>
      <c r="E75" s="33" t="s">
        <v>363</v>
      </c>
    </row>
    <row r="76" customFormat="false" ht="15" hidden="false" customHeight="true" outlineLevel="0" collapsed="false">
      <c r="A76" s="27" t="s">
        <v>308</v>
      </c>
      <c r="B76" s="27" t="n">
        <v>50</v>
      </c>
      <c r="C76" s="27"/>
      <c r="D76" s="32" t="str">
        <f aca="false">IF(C76&lt;&gt;"",C76/(B76/50),"")</f>
        <v/>
      </c>
      <c r="E76" s="32" t="str">
        <f aca="false">IF(C76&lt;&gt;"",C76/(B76/25),"")</f>
        <v/>
      </c>
    </row>
    <row r="77" customFormat="false" ht="15" hidden="false" customHeight="true" outlineLevel="0" collapsed="false">
      <c r="A77" s="27" t="s">
        <v>364</v>
      </c>
      <c r="B77" s="27" t="n">
        <v>100</v>
      </c>
      <c r="C77" s="27"/>
      <c r="D77" s="32" t="str">
        <f aca="false">IF(C77&lt;&gt;"",C77/(B77/50),"")</f>
        <v/>
      </c>
      <c r="E77" s="32" t="str">
        <f aca="false">IF(C77&lt;&gt;"",C77/(B77/25),"")</f>
        <v/>
      </c>
    </row>
    <row r="78" customFormat="false" ht="15" hidden="false" customHeight="true" outlineLevel="0" collapsed="false">
      <c r="A78" s="27" t="s">
        <v>314</v>
      </c>
      <c r="B78" s="27" t="n">
        <v>100</v>
      </c>
      <c r="C78" s="27"/>
      <c r="D78" s="32" t="str">
        <f aca="false">IF(C78&lt;&gt;"",C78/(B78/50),"")</f>
        <v/>
      </c>
      <c r="E78" s="32" t="str">
        <f aca="false">IF(C78&lt;&gt;"",C78/(B78/25),"")</f>
        <v/>
      </c>
    </row>
    <row r="79" customFormat="false" ht="15" hidden="false" customHeight="true" outlineLevel="0" collapsed="false">
      <c r="A79" s="27" t="s">
        <v>365</v>
      </c>
      <c r="B79" s="27"/>
      <c r="C79" s="27"/>
      <c r="D79" s="32" t="str">
        <f aca="false">IF(AND(B79&lt;&gt;"",C79&lt;&gt;""),C79/(B79/50),"")</f>
        <v/>
      </c>
      <c r="E79" s="32" t="str">
        <f aca="false">IF(AND(B79&lt;&gt;"",C79&lt;&gt;""),C79/(B79/25),"")</f>
        <v/>
      </c>
    </row>
    <row r="81" customFormat="false" ht="15" hidden="false" customHeight="true" outlineLevel="0" collapsed="false">
      <c r="A81" s="36" t="s">
        <v>366</v>
      </c>
      <c r="B81" s="36"/>
      <c r="C81" s="36"/>
      <c r="D81" s="36"/>
      <c r="E81" s="36"/>
      <c r="F81" s="36"/>
    </row>
  </sheetData>
  <mergeCells count="15">
    <mergeCell ref="A1:F1"/>
    <mergeCell ref="A2:F2"/>
    <mergeCell ref="A3:F3"/>
    <mergeCell ref="A7:F7"/>
    <mergeCell ref="A14:F14"/>
    <mergeCell ref="A18:F18"/>
    <mergeCell ref="A24:F24"/>
    <mergeCell ref="A37:F37"/>
    <mergeCell ref="A43:F43"/>
    <mergeCell ref="A46:F46"/>
    <mergeCell ref="A54:F54"/>
    <mergeCell ref="A60:F60"/>
    <mergeCell ref="A66:F66"/>
    <mergeCell ref="A74:F74"/>
    <mergeCell ref="A81:F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30"/>
    <col collapsed="false" customWidth="true" hidden="false" outlineLevel="0" max="26" min="2" style="1" width="8.71"/>
  </cols>
  <sheetData>
    <row r="1" customFormat="false" ht="15" hidden="false" customHeight="true" outlineLevel="0" collapsed="false">
      <c r="A1" s="2" t="s">
        <v>367</v>
      </c>
    </row>
    <row r="2" customFormat="false" ht="15" hidden="false" customHeight="true" outlineLevel="0" collapsed="false">
      <c r="A2" s="2"/>
    </row>
    <row r="3" customFormat="false" ht="42" hidden="false" customHeight="true" outlineLevel="0" collapsed="false">
      <c r="A3" s="37" t="s">
        <v>368</v>
      </c>
    </row>
    <row r="4" customFormat="false" ht="42" hidden="false" customHeight="true" outlineLevel="0" collapsed="false">
      <c r="A4" s="37" t="s">
        <v>369</v>
      </c>
    </row>
    <row r="5" customFormat="false" ht="42" hidden="false" customHeight="true" outlineLevel="0" collapsed="false">
      <c r="A5" s="37" t="s">
        <v>370</v>
      </c>
    </row>
    <row r="6" customFormat="false" ht="42" hidden="false" customHeight="true" outlineLevel="0" collapsed="false">
      <c r="A6" s="37" t="s">
        <v>371</v>
      </c>
    </row>
    <row r="7" customFormat="false" ht="42" hidden="false" customHeight="true" outlineLevel="0" collapsed="false">
      <c r="A7" s="37" t="s">
        <v>372</v>
      </c>
    </row>
    <row r="8" customFormat="false" ht="42" hidden="false" customHeight="true" outlineLevel="0" collapsed="false">
      <c r="A8" s="37" t="s">
        <v>373</v>
      </c>
    </row>
    <row r="9" customFormat="false" ht="42" hidden="false" customHeight="true" outlineLevel="0" collapsed="false">
      <c r="A9" s="37" t="s">
        <v>374</v>
      </c>
    </row>
    <row r="10" customFormat="false" ht="42" hidden="false" customHeight="true" outlineLevel="0" collapsed="false">
      <c r="A10" s="37" t="s">
        <v>375</v>
      </c>
    </row>
    <row r="11" customFormat="false" ht="42" hidden="false" customHeight="true" outlineLevel="0" collapsed="false">
      <c r="A11" s="37" t="s">
        <v>376</v>
      </c>
    </row>
    <row r="12" customFormat="false" ht="42" hidden="false" customHeight="true" outlineLevel="0" collapsed="false">
      <c r="A12" s="37" t="s">
        <v>377</v>
      </c>
    </row>
    <row r="13" customFormat="false" ht="42" hidden="false" customHeight="true" outlineLevel="0" collapsed="false">
      <c r="A13" s="37" t="s">
        <v>378</v>
      </c>
    </row>
    <row r="14" customFormat="false" ht="42" hidden="false" customHeight="true" outlineLevel="0" collapsed="false">
      <c r="A14" s="37" t="s">
        <v>379</v>
      </c>
    </row>
    <row r="15" customFormat="false" ht="42" hidden="false" customHeight="true" outlineLevel="0" collapsed="false">
      <c r="A15" s="37" t="s">
        <v>380</v>
      </c>
    </row>
    <row r="16" customFormat="false" ht="42" hidden="false" customHeight="true" outlineLevel="0" collapsed="false">
      <c r="A16" s="37" t="s">
        <v>381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2026-09-23T04:23:49Z</dcterms:created>
  <dc:creator>openpyxl</dc:creator>
  <dc:description/>
  <dc:language>en-US</dc:language>
  <cp:lastModifiedBy/>
  <dcterms:modified xsi:type="dcterms:W3CDTF">2026-09-24T14:41:13Z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