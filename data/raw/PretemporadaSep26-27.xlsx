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" sheetId="1" r:id="rId5"/>
    <sheet state="visible" name="Sep" sheetId="2" r:id="rId6"/>
  </sheets>
  <definedNames/>
  <calcPr/>
</workbook>
</file>

<file path=xl/sharedStrings.xml><?xml version="1.0" encoding="utf-8"?>
<sst xmlns="http://schemas.openxmlformats.org/spreadsheetml/2006/main" count="1204" uniqueCount="442">
  <si>
    <t>Setmana 5</t>
  </si>
  <si>
    <t>Setmana 3</t>
  </si>
  <si>
    <t>Dia</t>
  </si>
  <si>
    <t>Treball</t>
  </si>
  <si>
    <t>Execució</t>
  </si>
  <si>
    <t>Descans</t>
  </si>
  <si>
    <t>Material</t>
  </si>
  <si>
    <t>Intensitat</t>
  </si>
  <si>
    <t>Objectiu</t>
  </si>
  <si>
    <t>Temps (min)</t>
  </si>
  <si>
    <t>Volum (m)</t>
  </si>
  <si>
    <t>Dilluns 1</t>
  </si>
  <si>
    <t>Dilluns 18</t>
  </si>
  <si>
    <t>25 Buceig + 75 PEB</t>
  </si>
  <si>
    <t>-</t>
  </si>
  <si>
    <t>A1</t>
  </si>
  <si>
    <t>Escalfament + Apnea</t>
  </si>
  <si>
    <t>75N Lliure</t>
  </si>
  <si>
    <t>Escalfament</t>
  </si>
  <si>
    <t>4x100</t>
  </si>
  <si>
    <t>Crol r/4</t>
  </si>
  <si>
    <t>c/1'40"</t>
  </si>
  <si>
    <t>AL</t>
  </si>
  <si>
    <t>Aeròbic Crol</t>
  </si>
  <si>
    <t>12x50</t>
  </si>
  <si>
    <t>2 cada estil (1 Pull + 1 Nado)</t>
  </si>
  <si>
    <t>c/1'</t>
  </si>
  <si>
    <t>Pull</t>
  </si>
  <si>
    <t>A2</t>
  </si>
  <si>
    <t>Aeròbic Estils</t>
  </si>
  <si>
    <t>25 subaquàtic</t>
  </si>
  <si>
    <t>4x200</t>
  </si>
  <si>
    <t>c/3'15"</t>
  </si>
  <si>
    <t>Apnea + posició + profunditat 1m</t>
  </si>
  <si>
    <t>8x50</t>
  </si>
  <si>
    <t>Esquena</t>
  </si>
  <si>
    <t>c/1'10"</t>
  </si>
  <si>
    <t>Palites</t>
  </si>
  <si>
    <t>Aeròbic Esquena</t>
  </si>
  <si>
    <t>10x200</t>
  </si>
  <si>
    <t>Recuperació</t>
  </si>
  <si>
    <t>A0</t>
  </si>
  <si>
    <t>3) Crol</t>
  </si>
  <si>
    <t>c/3'35"</t>
  </si>
  <si>
    <t>Resistència Aeròbica + Força</t>
  </si>
  <si>
    <t>2) Ps Crol</t>
  </si>
  <si>
    <t>c/3'40"</t>
  </si>
  <si>
    <t>Aeròbic Cames</t>
  </si>
  <si>
    <t>Total</t>
  </si>
  <si>
    <t>3) Ei</t>
  </si>
  <si>
    <t>c/4'</t>
  </si>
  <si>
    <t>Resistència Aeròbica</t>
  </si>
  <si>
    <t>2) Ps Esquena</t>
  </si>
  <si>
    <t>Crol Hypox</t>
  </si>
  <si>
    <t>Pilotes</t>
  </si>
  <si>
    <t>Recuperació + hypox + Tèc</t>
  </si>
  <si>
    <t>Dimarts 2</t>
  </si>
  <si>
    <t>2x</t>
  </si>
  <si>
    <t>200 Crol r/3</t>
  </si>
  <si>
    <t>d/20"</t>
  </si>
  <si>
    <t>Respiració Bilateral</t>
  </si>
  <si>
    <t>100 Ei</t>
  </si>
  <si>
    <t>Focus posició</t>
  </si>
  <si>
    <t>Ps Crol</t>
  </si>
  <si>
    <t>Eficiència aeròbica</t>
  </si>
  <si>
    <t>Dimarts 19</t>
  </si>
  <si>
    <t>12x25</t>
  </si>
  <si>
    <t>Ei</t>
  </si>
  <si>
    <t>c/40"</t>
  </si>
  <si>
    <t>Resistència aeròbica</t>
  </si>
  <si>
    <t>Crol (75 Tèc + 50N + 25 Ps)</t>
  </si>
  <si>
    <t>Crol</t>
  </si>
  <si>
    <t>d/30"</t>
  </si>
  <si>
    <t>Tub</t>
  </si>
  <si>
    <t>A3</t>
  </si>
  <si>
    <t>High Endurance Performance</t>
  </si>
  <si>
    <t>Control Tècnic</t>
  </si>
  <si>
    <t xml:space="preserve">Crol </t>
  </si>
  <si>
    <t>Focus ritme i frequència</t>
  </si>
  <si>
    <t>8x25</t>
  </si>
  <si>
    <t>2x100</t>
  </si>
  <si>
    <t>Ei c/50 (200 Ps + 200 Pull)</t>
  </si>
  <si>
    <t>c/2'10"</t>
  </si>
  <si>
    <t>c/1'50"</t>
  </si>
  <si>
    <t>4x25</t>
  </si>
  <si>
    <t>2x200</t>
  </si>
  <si>
    <t>Papallona (50N + 50 Ps Pantxa Amunt)</t>
  </si>
  <si>
    <t>6x50</t>
  </si>
  <si>
    <t>c/3'50"</t>
  </si>
  <si>
    <t>Tècnica Papallona</t>
  </si>
  <si>
    <t>recuperació</t>
  </si>
  <si>
    <t>3x100</t>
  </si>
  <si>
    <t>2) A2 + 1) A1</t>
  </si>
  <si>
    <t>Dimecres 3</t>
  </si>
  <si>
    <t>9) Crol + 3) Pap AL</t>
  </si>
  <si>
    <t>5x300</t>
  </si>
  <si>
    <t>1-2) Crol r/3</t>
  </si>
  <si>
    <t>3-4) 50 Crol + 25 Ps Braça</t>
  </si>
  <si>
    <t>Control Tècnic + Patada Braça</t>
  </si>
  <si>
    <t>5) 75 Crol A1 + 75 Esq A2</t>
  </si>
  <si>
    <t>A1 + A2</t>
  </si>
  <si>
    <t>Aeròbic</t>
  </si>
  <si>
    <t>Crol (50 prog + 25 Màx Vel + 25 Màx DPS)</t>
  </si>
  <si>
    <t>Vel</t>
  </si>
  <si>
    <t>Velocitat + DPS</t>
  </si>
  <si>
    <t>2x50</t>
  </si>
  <si>
    <t>(^) 20m Màx + 30 Suau</t>
  </si>
  <si>
    <t>Velocitat + Tècnica Sortida</t>
  </si>
  <si>
    <t>Crol (35 Màx Vel + 40 Màx DPS</t>
  </si>
  <si>
    <t>Dimecres 20</t>
  </si>
  <si>
    <t>3x50</t>
  </si>
  <si>
    <t>(^) 30 Màx Vel + 20 suau</t>
  </si>
  <si>
    <t>3x400</t>
  </si>
  <si>
    <t>Crol Fartlek viratges Fort</t>
  </si>
  <si>
    <t>Velocitat + Tècnica Viratges</t>
  </si>
  <si>
    <t>1) Crol màxima longitud</t>
  </si>
  <si>
    <t>d/45"</t>
  </si>
  <si>
    <t>4x50</t>
  </si>
  <si>
    <t>(^) Màx</t>
  </si>
  <si>
    <t>MPLA</t>
  </si>
  <si>
    <t>Màxima Producció</t>
  </si>
  <si>
    <t>Tècnica Crol</t>
  </si>
  <si>
    <t>2) 50Ps + 50progr Ei</t>
  </si>
  <si>
    <t>Estils</t>
  </si>
  <si>
    <t>3) 25 sprint Crol + 75 Tècnica Crol</t>
  </si>
  <si>
    <t>Velocitat + Tècnica</t>
  </si>
  <si>
    <t>Dijous 4</t>
  </si>
  <si>
    <t>Ei ordre invers</t>
  </si>
  <si>
    <t>4x5'</t>
  </si>
  <si>
    <t>Sprints de 25m amb viratge variats</t>
  </si>
  <si>
    <t>c/5'</t>
  </si>
  <si>
    <t>Crol Fartlek viratges F</t>
  </si>
  <si>
    <t>Velocitat</t>
  </si>
  <si>
    <t>Tècnica Viratges</t>
  </si>
  <si>
    <t>Tècnica Estils</t>
  </si>
  <si>
    <t>Crol 50 A1 + 50 A2</t>
  </si>
  <si>
    <t>Ps Esquena sub 4 bats</t>
  </si>
  <si>
    <t>Cames + subaq</t>
  </si>
  <si>
    <t>Sprints de 25m amb viratge variats (sub 12,5m)</t>
  </si>
  <si>
    <t>Crol sub 4 bats</t>
  </si>
  <si>
    <t>Aeròbic + Tècnica viratges</t>
  </si>
  <si>
    <t>2x400</t>
  </si>
  <si>
    <t>Esquena Focus rolido</t>
  </si>
  <si>
    <t>1) Crol</t>
  </si>
  <si>
    <t>c/7'</t>
  </si>
  <si>
    <t>Tècnica Esquena</t>
  </si>
  <si>
    <t>Reducció Àcid Làctic</t>
  </si>
  <si>
    <t>Crol prog 1-4 (A1-A2-A3-Màx)</t>
  </si>
  <si>
    <t>c/2'</t>
  </si>
  <si>
    <t>AeM</t>
  </si>
  <si>
    <t>Aeròbic mixte</t>
  </si>
  <si>
    <t>2) Lliure</t>
  </si>
  <si>
    <t>Lliure</t>
  </si>
  <si>
    <t>Divendres 5</t>
  </si>
  <si>
    <t>Ei dividint Papallona</t>
  </si>
  <si>
    <t>2x200 Crol</t>
  </si>
  <si>
    <t>Dijous 21</t>
  </si>
  <si>
    <t>4x50 Esq/Br viratges F</t>
  </si>
  <si>
    <t>Tec Viratge Esq/Br</t>
  </si>
  <si>
    <t>6x200</t>
  </si>
  <si>
    <t>1) Ei ordre invers</t>
  </si>
  <si>
    <t>12x25 (1 Tèc + 1 sprint ^) 2on bloc Ei</t>
  </si>
  <si>
    <t>c/50"</t>
  </si>
  <si>
    <t>Tècnica + Velocitat</t>
  </si>
  <si>
    <t>25 Pap F + 75 Esq A1 + 50 Br A2</t>
  </si>
  <si>
    <t>Aeròbic Ei</t>
  </si>
  <si>
    <t>2) 50 Pull + 50 Ps Ei (PE - BC)</t>
  </si>
  <si>
    <t>3) Crol r/4</t>
  </si>
  <si>
    <t>Posició i gestió de la respiració</t>
  </si>
  <si>
    <t>3x</t>
  </si>
  <si>
    <t>100 + 2x75 + 2x50</t>
  </si>
  <si>
    <t>Setmana 6</t>
  </si>
  <si>
    <t>150 Ps</t>
  </si>
  <si>
    <t>Treball cames</t>
  </si>
  <si>
    <t>100 Tècnica PEB</t>
  </si>
  <si>
    <t>Dilluns 7</t>
  </si>
  <si>
    <t>Ei (50 Pull + 50 Ps)</t>
  </si>
  <si>
    <t>50 Crol + 25 Pap</t>
  </si>
  <si>
    <t>Divendres 22</t>
  </si>
  <si>
    <t>NPBT estils ordre invers</t>
  </si>
  <si>
    <t>Ps Esquena Fartlek viratges Fort</t>
  </si>
  <si>
    <t>Escalfament + Tèc Ei</t>
  </si>
  <si>
    <t>Tècnica viratges Esquena</t>
  </si>
  <si>
    <t>Crol progressiu c/25</t>
  </si>
  <si>
    <t>12x100</t>
  </si>
  <si>
    <t>200-150-100-50 Crol Ae2</t>
  </si>
  <si>
    <t>Eficiència Aeròbica</t>
  </si>
  <si>
    <t>d/25"</t>
  </si>
  <si>
    <t>Umbral anaeròbic</t>
  </si>
  <si>
    <t>8x25 sprint (2P + 4E + 2B)</t>
  </si>
  <si>
    <t>c/45"</t>
  </si>
  <si>
    <t>Velocitat + Força</t>
  </si>
  <si>
    <t>100 coordinació parelles</t>
  </si>
  <si>
    <t>Palites + Tub</t>
  </si>
  <si>
    <t>Tècnica + recuperació</t>
  </si>
  <si>
    <t>Força Cames</t>
  </si>
  <si>
    <t>6x75</t>
  </si>
  <si>
    <t>2) 50P + 25E</t>
  </si>
  <si>
    <t>Eficiència Aeròbica Estils</t>
  </si>
  <si>
    <t>2) 50E + 25B</t>
  </si>
  <si>
    <t>Dimarts 8</t>
  </si>
  <si>
    <t>2) 50B + 25P</t>
  </si>
  <si>
    <t>15x100</t>
  </si>
  <si>
    <t>5) Crol r/3</t>
  </si>
  <si>
    <t>15'</t>
  </si>
  <si>
    <t>Tècnica viratges</t>
  </si>
  <si>
    <t>Focus Gir ràpid + posició peus + profunditat 1m + posició fletxa</t>
  </si>
  <si>
    <t>4) Ps Crol</t>
  </si>
  <si>
    <t>Cames Crol</t>
  </si>
  <si>
    <t>2) Papallona</t>
  </si>
  <si>
    <t>1) Suau</t>
  </si>
  <si>
    <t>Setmana 4</t>
  </si>
  <si>
    <t>1x25 Esquena 1 braç</t>
  </si>
  <si>
    <t>Pales</t>
  </si>
  <si>
    <t>1x50 Esquena</t>
  </si>
  <si>
    <t>Dilluns 25</t>
  </si>
  <si>
    <t>3x25 Esquena</t>
  </si>
  <si>
    <t>100C</t>
  </si>
  <si>
    <t>6x</t>
  </si>
  <si>
    <t>1x75 C/E/PEB Màx</t>
  </si>
  <si>
    <t>Eficiència Aeròbica Crol</t>
  </si>
  <si>
    <t>Màxima Producció de Lactat</t>
  </si>
  <si>
    <t>75 Ei (PEB)</t>
  </si>
  <si>
    <t>1x50 Ps suau</t>
  </si>
  <si>
    <t>NPB Crol</t>
  </si>
  <si>
    <t>d/40"</t>
  </si>
  <si>
    <t>Eficiència Aeròbica Crol + Ps + Braços</t>
  </si>
  <si>
    <t>150 Pull Esquena + 100 Tèc Esquena (2-1)</t>
  </si>
  <si>
    <t>d/35"</t>
  </si>
  <si>
    <t>Dimecres 9</t>
  </si>
  <si>
    <t>150 N Esquena + 100 Tèc Esquena (3-1)</t>
  </si>
  <si>
    <t>NPBT Estils ordre invers</t>
  </si>
  <si>
    <t>Escalfament + Tècnica Estils</t>
  </si>
  <si>
    <t>Ei Papallona dividida</t>
  </si>
  <si>
    <t>4x</t>
  </si>
  <si>
    <t>4x50 (1 cada estil)</t>
  </si>
  <si>
    <t>c/1'05"</t>
  </si>
  <si>
    <t>Rp 200 Ei</t>
  </si>
  <si>
    <t>Ps Esquena amb subaquàtics llargs</t>
  </si>
  <si>
    <t>Força Cames + treball subaq.</t>
  </si>
  <si>
    <t>300 (bloc 1 i 3 Crol Ae1 Tub i bloc 2 i 4 Ps Esq AL Ae1)</t>
  </si>
  <si>
    <t>Tub / AL</t>
  </si>
  <si>
    <t>Control Tècnic i recuperació</t>
  </si>
  <si>
    <t>75 Crol A2 + 25 A1</t>
  </si>
  <si>
    <t>Resistència Aeròbica Crol</t>
  </si>
  <si>
    <t>Tècnica Crol + Recuperació</t>
  </si>
  <si>
    <t>Dijous 10</t>
  </si>
  <si>
    <t>50B + 50E</t>
  </si>
  <si>
    <t>7x50 Crol</t>
  </si>
  <si>
    <t>c/1' - 55" - 50"</t>
  </si>
  <si>
    <t>Dimarts 26</t>
  </si>
  <si>
    <t>7x25 PEB</t>
  </si>
  <si>
    <t>25x100</t>
  </si>
  <si>
    <t>AL / - / -</t>
  </si>
  <si>
    <t>5) Crol hypox viratges 5+5</t>
  </si>
  <si>
    <t>d/15"</t>
  </si>
  <si>
    <t>Aeròbic + hypox Crol</t>
  </si>
  <si>
    <t>75 suau</t>
  </si>
  <si>
    <t>5) Ps Crol</t>
  </si>
  <si>
    <t>5) FRIM</t>
  </si>
  <si>
    <t>Aeròbic estils + focus viratges</t>
  </si>
  <si>
    <t>5) Crol</t>
  </si>
  <si>
    <t>Divendres 11</t>
  </si>
  <si>
    <t>Aeròbic Estils + focus viratges</t>
  </si>
  <si>
    <t>75N + 25 Ps</t>
  </si>
  <si>
    <t>16x25</t>
  </si>
  <si>
    <t>Papallona (12,5 sub + trans + 1ªB)</t>
  </si>
  <si>
    <t>Treball Papallona</t>
  </si>
  <si>
    <t>25 hyp + 50N + 25 màximes braçades</t>
  </si>
  <si>
    <t>Frreqüència</t>
  </si>
  <si>
    <t>Ps</t>
  </si>
  <si>
    <t>Aeròbic cames</t>
  </si>
  <si>
    <t>300 Crol 2-3-4 c/100</t>
  </si>
  <si>
    <t>Aeròbic Crol + Treball aeròbic</t>
  </si>
  <si>
    <t>4x50 Ps PEB</t>
  </si>
  <si>
    <t>c/1'15"</t>
  </si>
  <si>
    <t>Dimecres 27</t>
  </si>
  <si>
    <t>100 suau</t>
  </si>
  <si>
    <t>Crol progressives 1-4</t>
  </si>
  <si>
    <t>2) Crol</t>
  </si>
  <si>
    <t>Pull + Tub</t>
  </si>
  <si>
    <t>2) Crol 50 A1 + 50 A2</t>
  </si>
  <si>
    <t xml:space="preserve">1) 75 Crol A1 + 25 progressiu </t>
  </si>
  <si>
    <t>Setmana 7</t>
  </si>
  <si>
    <t>2) Estils sub +6m</t>
  </si>
  <si>
    <t>Aeròbic Estils + focus viratges i subaqs</t>
  </si>
  <si>
    <t>2) 25 Papallona + 75 Braça</t>
  </si>
  <si>
    <t>1) Ps Esquena</t>
  </si>
  <si>
    <t>Cames</t>
  </si>
  <si>
    <t>Dilluns 14</t>
  </si>
  <si>
    <t>sprint Crol/Pap</t>
  </si>
  <si>
    <t>8x100</t>
  </si>
  <si>
    <t>Treball velocitat màxima</t>
  </si>
  <si>
    <t>1) Crol r/4</t>
  </si>
  <si>
    <t>1) Esquena sub +5m</t>
  </si>
  <si>
    <t>24x50</t>
  </si>
  <si>
    <t>12) Crol prog 1-3</t>
  </si>
  <si>
    <t>A1-A2-A3</t>
  </si>
  <si>
    <t>Aeròbic Mixte</t>
  </si>
  <si>
    <t>12) No Crol prog 1-3</t>
  </si>
  <si>
    <t>Dijous 28</t>
  </si>
  <si>
    <t>8x125</t>
  </si>
  <si>
    <t>25 sprint + 100 Tècnica 2c/Ei</t>
  </si>
  <si>
    <t>AL/Palites/-</t>
  </si>
  <si>
    <t>Vel / A1</t>
  </si>
  <si>
    <t>Velocitat + Tècnica Estils</t>
  </si>
  <si>
    <t>400 Crol</t>
  </si>
  <si>
    <t>4x150 Crol Fartlek 25-25</t>
  </si>
  <si>
    <t>- / AL</t>
  </si>
  <si>
    <t xml:space="preserve">4x50 Papallona </t>
  </si>
  <si>
    <t>Aeròbic + Força</t>
  </si>
  <si>
    <t>Dimarts 15</t>
  </si>
  <si>
    <t>3) Crol + 3) FRIM</t>
  </si>
  <si>
    <t>d/10"</t>
  </si>
  <si>
    <t>1'30"</t>
  </si>
  <si>
    <t>Divendres 29</t>
  </si>
  <si>
    <t>10x50 Crol</t>
  </si>
  <si>
    <t>c/1'-55"-50"</t>
  </si>
  <si>
    <t>200 (25 Tècnica archer + 25 N 1 braç)</t>
  </si>
  <si>
    <t>AL + Tub</t>
  </si>
  <si>
    <t>2) Crol + 2) FRIM</t>
  </si>
  <si>
    <t>100 Tècnica Crol/Pap</t>
  </si>
  <si>
    <t>1'25"</t>
  </si>
  <si>
    <t>2x50 Màx Crol/Pap</t>
  </si>
  <si>
    <t>1) Crol + 1) FRIM</t>
  </si>
  <si>
    <t>1'20"</t>
  </si>
  <si>
    <t>50 suau</t>
  </si>
  <si>
    <t>Ps 100E + 100C + 100E</t>
  </si>
  <si>
    <t>Treball Cames</t>
  </si>
  <si>
    <t>16x50</t>
  </si>
  <si>
    <t xml:space="preserve">1) Crol </t>
  </si>
  <si>
    <t>TOLA</t>
  </si>
  <si>
    <t>&lt; 1'20"</t>
  </si>
  <si>
    <t>Tolerància Làctica</t>
  </si>
  <si>
    <t>1) Esquena / Braça</t>
  </si>
  <si>
    <t>Tècnica Esq / Br Recuperació</t>
  </si>
  <si>
    <t>suau</t>
  </si>
  <si>
    <t>Dimecres 16</t>
  </si>
  <si>
    <t>Ei papallona dividida</t>
  </si>
  <si>
    <t>Escalfament + sortides</t>
  </si>
  <si>
    <t>300 Crol r/4</t>
  </si>
  <si>
    <t>Treball aeròbic</t>
  </si>
  <si>
    <t>4x100 Ei</t>
  </si>
  <si>
    <t>Treball estils</t>
  </si>
  <si>
    <t>6x25 Crol arribant amb viratge</t>
  </si>
  <si>
    <t>Focus viratge ràpid</t>
  </si>
  <si>
    <t>100 coordinació 3-1</t>
  </si>
  <si>
    <t>Recuperació + coordinació</t>
  </si>
  <si>
    <t>100E nado + 100 remades variades</t>
  </si>
  <si>
    <t>Tècnica Esquena + remades</t>
  </si>
  <si>
    <t>Dijous 17</t>
  </si>
  <si>
    <t>28x100</t>
  </si>
  <si>
    <t>7) Crol Pales amb sentit invers</t>
  </si>
  <si>
    <t>Tècnica crol - colze + antebraç</t>
  </si>
  <si>
    <t>7) 25 sprint + 25 Ps A1 variat</t>
  </si>
  <si>
    <t>A1 + Vel</t>
  </si>
  <si>
    <t>Velocitat + Cames</t>
  </si>
  <si>
    <t>7) Ei</t>
  </si>
  <si>
    <t>Aeròbic estils</t>
  </si>
  <si>
    <t>7) Imp Crol A2 + Par 25P 1-1 + 75E A1</t>
  </si>
  <si>
    <t>A2 / A1</t>
  </si>
  <si>
    <t>5'</t>
  </si>
  <si>
    <t>Divendres 18</t>
  </si>
  <si>
    <t>100C r/3 + 75E + 50B + 75 Ps PEB</t>
  </si>
  <si>
    <t>25 Pap</t>
  </si>
  <si>
    <t>Aeròbic intens</t>
  </si>
  <si>
    <t>50 Crol</t>
  </si>
  <si>
    <t>50 Braça</t>
  </si>
  <si>
    <t>75 Crol</t>
  </si>
  <si>
    <t>50 Ps Crol</t>
  </si>
  <si>
    <t>100 Crol</t>
  </si>
  <si>
    <t>Dissabte 19</t>
  </si>
  <si>
    <t>Diumenge 20</t>
  </si>
  <si>
    <t>Travessa Banyoles</t>
  </si>
  <si>
    <t>Setmana 8</t>
  </si>
  <si>
    <t>Dilluns 21</t>
  </si>
  <si>
    <t>12x50 (1er bloc Ae1 Crol c/55" - 2on Ae2 Crol c/1')</t>
  </si>
  <si>
    <t>c/55" - 1'</t>
  </si>
  <si>
    <t>A1 / A2</t>
  </si>
  <si>
    <t>12x25 (1er bloc Crol Ae2 1Ps + 1N - 2on Pap Ae2 amb AL)</t>
  </si>
  <si>
    <t>c/45" - 40"</t>
  </si>
  <si>
    <t>Aeròbic + Tècnica Competició</t>
  </si>
  <si>
    <t>400 Crol Ae1 (1er bloc Tub - 2on Tub + AL)</t>
  </si>
  <si>
    <t>Tub + AL</t>
  </si>
  <si>
    <t>Focus Posició Cos</t>
  </si>
  <si>
    <t>Dimarts 22</t>
  </si>
  <si>
    <t>Ei ordre invers NPBT</t>
  </si>
  <si>
    <t>12x25 Pap</t>
  </si>
  <si>
    <t>Agilitat + Eficiència</t>
  </si>
  <si>
    <t>100 Ps Crol</t>
  </si>
  <si>
    <t>2x75 Crol</t>
  </si>
  <si>
    <t>VO2 Màx</t>
  </si>
  <si>
    <t>100 Crol Tècnica</t>
  </si>
  <si>
    <t>Posició cos crol</t>
  </si>
  <si>
    <t>Ei pap dividida</t>
  </si>
  <si>
    <t>Dimecres 23</t>
  </si>
  <si>
    <t>100C + 50E + 50B</t>
  </si>
  <si>
    <t>25 Tèc + 25 Ps (1 cada estil)</t>
  </si>
  <si>
    <t>25 subaquàtic fletxa</t>
  </si>
  <si>
    <t>Treball apnea i subaquàtic</t>
  </si>
  <si>
    <t>Crol (2 Ae1 r/4 + 2 Ae2)</t>
  </si>
  <si>
    <t>Condició aeròbica general</t>
  </si>
  <si>
    <t>4) Crol força màxima en la agafada i la tracció</t>
  </si>
  <si>
    <t>Força màxima (focus colzes alts per agafar aigua)</t>
  </si>
  <si>
    <t>4) PAP força màxima en la agafada i la tracció</t>
  </si>
  <si>
    <t>4) Ps PAP 25 sprint + 25 suau</t>
  </si>
  <si>
    <t>Força cames</t>
  </si>
  <si>
    <t>1) Crol màxima velocitat</t>
  </si>
  <si>
    <t>1) Subaquàtic fort fins 15 + resta suau</t>
  </si>
  <si>
    <t>Velocitat de subaquàtic (profunditat + posició cos + moviment)</t>
  </si>
  <si>
    <t>Recuperació lliure</t>
  </si>
  <si>
    <t>Dijous 24</t>
  </si>
  <si>
    <t>Técnica Pap</t>
  </si>
  <si>
    <t>Tècnica focus posició, viratges i subaqs.</t>
  </si>
  <si>
    <t>c/1'45"</t>
  </si>
  <si>
    <t>Aeròbic Crol focus posició</t>
  </si>
  <si>
    <t>Potència aeròbica</t>
  </si>
  <si>
    <t>Ps Esquena</t>
  </si>
  <si>
    <t>c/1'55"</t>
  </si>
  <si>
    <t>Cames Esquena + viratge + subaq.</t>
  </si>
  <si>
    <t>25P + 50C + 25P</t>
  </si>
  <si>
    <t>c/2'05"</t>
  </si>
  <si>
    <t>Treball aeròbic focus subaquàtics llargs</t>
  </si>
  <si>
    <t>Tècnica 50 Biondi + 50 Crol</t>
  </si>
  <si>
    <t>Tècnica</t>
  </si>
  <si>
    <t>100C + 100Ei + 100C</t>
  </si>
  <si>
    <t>Recuperació activa</t>
  </si>
  <si>
    <t>Divendres 25</t>
  </si>
  <si>
    <t>50C + 50E</t>
  </si>
  <si>
    <t>Posició cos</t>
  </si>
  <si>
    <t>c/55"</t>
  </si>
  <si>
    <t>Aeròbic focus Tècnica</t>
  </si>
  <si>
    <t>Ps pap panxa amunt</t>
  </si>
  <si>
    <t>Treball Ei focus posició i subaquàtics</t>
  </si>
  <si>
    <t>8x35</t>
  </si>
  <si>
    <t>4 Crol + 4 Pap AL</t>
  </si>
  <si>
    <t>c/1'30"</t>
  </si>
  <si>
    <t>Tècnica de sortida i viratge</t>
  </si>
  <si>
    <t>sprint Crol</t>
  </si>
  <si>
    <t>Velocitat màxima</t>
  </si>
  <si>
    <t>Dissabte 26</t>
  </si>
  <si>
    <t>Diumenge 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</si>
</sst>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</font>
    <font>
      <b/>
      <color rgb="FFFFFFFF"/>
      <name val="Arial"/>
    </font>
    <font/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5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FF9900"/>
      </right>
      <bottom style="thin">
        <color rgb="FF000000"/>
      </bottom>
    </border>
    <border>
      <top style="thin">
        <color rgb="FF000000"/>
      </top>
    </border>
    <border>
      <right style="thin">
        <color rgb="FFFF99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F9900"/>
      </bottom>
    </border>
    <border>
      <right style="thin">
        <color rgb="FFFF9900"/>
      </right>
    </border>
    <border>
      <bottom style="thin">
        <color rgb="FFFF9900"/>
      </bottom>
    </border>
    <border>
      <right style="thin">
        <color rgb="FF000000"/>
      </right>
      <bottom style="thin">
        <color rgb="FFFF9900"/>
      </bottom>
    </border>
    <border>
      <right style="thin">
        <color rgb="FFFF99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FF9900"/>
      </bottom>
    </border>
    <border>
      <left style="thin">
        <color rgb="FF000000"/>
      </left>
      <right style="thin">
        <color rgb="FFFF9900"/>
      </right>
      <bottom style="thin">
        <color rgb="FFFF99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9900"/>
      </bottom>
    </border>
    <border>
      <left style="thin">
        <color rgb="FF000000"/>
      </left>
      <right style="thin">
        <color rgb="FFFF9900"/>
      </right>
      <top style="thin">
        <color rgb="FF000000"/>
      </top>
      <bottom style="thin">
        <color rgb="FFFF9900"/>
      </bottom>
    </border>
    <border>
      <left style="thin">
        <color rgb="FFFF9900"/>
      </left>
      <top style="thin">
        <color rgb="FFFF9900"/>
      </top>
    </border>
    <border>
      <left style="thin">
        <color rgb="FF000000"/>
      </left>
      <top style="thin">
        <color rgb="FFFF9900"/>
      </top>
    </border>
    <border>
      <top style="thin">
        <color rgb="FFFF9900"/>
      </top>
    </border>
    <border>
      <right style="thin">
        <color rgb="FFFF9900"/>
      </right>
      <top style="thin">
        <color rgb="FFFF9900"/>
      </top>
    </border>
    <border>
      <left style="thin">
        <color rgb="FFFF9900"/>
      </left>
    </border>
    <border>
      <left style="thin">
        <color rgb="FFFF9900"/>
      </left>
      <bottom style="thin">
        <color rgb="FFFF9900"/>
      </bottom>
    </border>
    <border>
      <left style="thin">
        <color rgb="FF000000"/>
      </left>
      <top style="thin">
        <color rgb="FF000000"/>
      </top>
      <bottom style="thin">
        <color rgb="FFFF9900"/>
      </bottom>
    </border>
    <border>
      <top style="thin">
        <color rgb="FF000000"/>
      </top>
      <bottom style="thin">
        <color rgb="FFFF9900"/>
      </bottom>
    </border>
    <border>
      <right style="thin">
        <color rgb="FF000000"/>
      </right>
      <top style="thin">
        <color rgb="FF000000"/>
      </top>
      <bottom style="thin">
        <color rgb="FFFF9900"/>
      </bottom>
    </border>
    <border>
      <left style="thin">
        <color rgb="FFFF9900"/>
      </left>
      <right style="thin">
        <color rgb="FF000000"/>
      </right>
      <top style="thin">
        <color rgb="FFFF9900"/>
      </top>
    </border>
    <border>
      <left style="thin">
        <color rgb="FFFF9900"/>
      </left>
      <right style="thin">
        <color rgb="FF000000"/>
      </right>
    </border>
    <border>
      <left style="thin">
        <color rgb="FFFF9900"/>
      </left>
      <right style="thin">
        <color rgb="FF000000"/>
      </right>
      <bottom style="thin">
        <color rgb="FFFF9900"/>
      </bottom>
    </border>
    <border>
      <top style="thin">
        <color rgb="FFFF9900"/>
      </top>
      <bottom style="thin">
        <color rgb="FF000000"/>
      </bottom>
    </border>
    <border>
      <right style="thin">
        <color rgb="FFFF99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/>
      <top/>
    </border>
    <border>
      <left/>
      <right/>
      <top/>
      <bottom/>
    </border>
    <border>
      <right style="thin">
        <color rgb="FFFF9900"/>
      </right>
      <bottom style="thin">
        <color rgb="FFFF9900"/>
      </bottom>
    </border>
    <border>
      <left/>
      <right style="thin">
        <color rgb="FFFF9900"/>
      </right>
      <top/>
    </border>
    <border>
      <left/>
      <right/>
    </border>
    <border>
      <left/>
      <right style="thin">
        <color rgb="FFFF9900"/>
      </right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FF9900"/>
      </right>
      <bottom style="thin">
        <color rgb="FF000000"/>
      </bottom>
    </border>
    <border>
      <left/>
      <right style="thin">
        <color rgb="FFFF9900"/>
      </right>
      <top/>
      <bottom style="thin">
        <color rgb="FF000000"/>
      </bottom>
    </border>
    <border>
      <left/>
      <top/>
      <bottom style="thin">
        <color rgb="FFFF9900"/>
      </bottom>
    </border>
    <border>
      <top/>
      <bottom style="thin">
        <color rgb="FFFF9900"/>
      </bottom>
    </border>
    <border>
      <right style="thin">
        <color rgb="FF000000"/>
      </right>
      <top/>
      <bottom style="thin">
        <color rgb="FFFF9900"/>
      </bottom>
    </border>
    <border>
      <left style="thin">
        <color rgb="FF000000"/>
      </left>
      <right style="thin">
        <color rgb="FF000000"/>
      </right>
      <top/>
      <bottom style="thin">
        <color rgb="FFFF9900"/>
      </bottom>
    </border>
    <border>
      <left style="thin">
        <color rgb="FF000000"/>
      </left>
      <right style="thin">
        <color rgb="FFFF9900"/>
      </right>
      <top/>
      <bottom style="thin">
        <color rgb="FFFF9900"/>
      </bottom>
    </border>
    <border>
      <left/>
      <right style="thin">
        <color rgb="FFFF99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center"/>
    </xf>
    <xf borderId="4" fillId="0" fontId="5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/>
    </xf>
    <xf borderId="4" fillId="0" fontId="6" numFmtId="0" xfId="0" applyAlignment="1" applyBorder="1" applyFont="1">
      <alignment horizontal="center" vertical="center"/>
    </xf>
    <xf borderId="4" fillId="4" fontId="5" numFmtId="0" xfId="0" applyBorder="1" applyFill="1" applyFont="1"/>
    <xf borderId="4" fillId="3" fontId="6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/>
    </xf>
    <xf borderId="4" fillId="4" fontId="6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center"/>
    </xf>
    <xf borderId="4" fillId="5" fontId="6" numFmtId="0" xfId="0" applyAlignment="1" applyBorder="1" applyFill="1" applyFont="1">
      <alignment horizontal="center" vertical="center"/>
    </xf>
    <xf borderId="4" fillId="7" fontId="5" numFmtId="0" xfId="0" applyAlignment="1" applyBorder="1" applyFill="1" applyFont="1">
      <alignment horizontal="center"/>
    </xf>
    <xf borderId="4" fillId="6" fontId="6" numFmtId="0" xfId="0" applyAlignment="1" applyBorder="1" applyFill="1" applyFont="1">
      <alignment horizontal="center" vertical="center"/>
    </xf>
    <xf borderId="4" fillId="7" fontId="4" numFmtId="0" xfId="0" applyBorder="1" applyFill="1" applyFont="1"/>
    <xf borderId="4" fillId="7" fontId="6" numFmtId="0" xfId="0" applyAlignment="1" applyBorder="1" applyFill="1" applyFont="1">
      <alignment horizontal="center" vertical="center"/>
    </xf>
    <xf borderId="4" fillId="8" fontId="5" numFmtId="0" xfId="0" applyAlignment="1" applyBorder="1" applyFill="1" applyFont="1">
      <alignment horizontal="center" shrinkToFit="0" wrapText="1"/>
    </xf>
    <xf borderId="4" fillId="8" fontId="6" numFmtId="0" xfId="0" applyAlignment="1" applyBorder="1" applyFill="1" applyFont="1">
      <alignment horizontal="center" vertical="center"/>
    </xf>
    <xf borderId="4" fillId="9" fontId="5" numFmtId="0" xfId="0" applyAlignment="1" applyBorder="1" applyFill="1" applyFont="1">
      <alignment horizontal="center"/>
    </xf>
    <xf borderId="4" fillId="9" fontId="6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center" textRotation="90" vertical="center"/>
    </xf>
    <xf borderId="6" fillId="0" fontId="7" numFmtId="0" xfId="0" applyAlignment="1" applyBorder="1" applyFont="1">
      <alignment horizontal="center"/>
    </xf>
    <xf borderId="6" fillId="0" fontId="7" numFmtId="0" xfId="0" applyBorder="1" applyFont="1"/>
    <xf borderId="7" fillId="0" fontId="5" numFmtId="0" xfId="0" applyAlignment="1" applyBorder="1" applyFont="1">
      <alignment horizontal="center" textRotation="90" vertical="center"/>
    </xf>
    <xf borderId="6" fillId="0" fontId="4" numFmtId="0" xfId="0" applyBorder="1" applyFont="1"/>
    <xf borderId="6" fillId="0" fontId="7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/>
    </xf>
    <xf borderId="7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5" fillId="0" fontId="3" numFmtId="0" xfId="0" applyBorder="1" applyFont="1"/>
    <xf borderId="10" fillId="0" fontId="4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6" fillId="0" fontId="4" numFmtId="0" xfId="0" applyAlignment="1" applyBorder="1" applyFont="1">
      <alignment horizontal="center" vertical="center"/>
    </xf>
    <xf borderId="6" fillId="0" fontId="3" numFmtId="0" xfId="0" applyBorder="1" applyFont="1"/>
    <xf borderId="8" fillId="0" fontId="4" numFmtId="0" xfId="0" applyAlignment="1" applyBorder="1" applyFont="1">
      <alignment horizontal="center" vertical="center"/>
    </xf>
    <xf borderId="13" fillId="0" fontId="3" numFmtId="0" xfId="0" applyBorder="1" applyFont="1"/>
    <xf borderId="0" fillId="0" fontId="4" numFmtId="0" xfId="0" applyAlignment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3" numFmtId="0" xfId="0" applyBorder="1" applyFont="1"/>
    <xf borderId="18" fillId="0" fontId="4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/>
    </xf>
    <xf borderId="19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Font="1"/>
    <xf borderId="20" fillId="0" fontId="4" numFmtId="0" xfId="0" applyAlignment="1" applyBorder="1" applyFont="1">
      <alignment horizontal="center" vertical="center"/>
    </xf>
    <xf borderId="0" fillId="0" fontId="4" numFmtId="0" xfId="0" applyFont="1"/>
    <xf borderId="0" fillId="0" fontId="7" numFmtId="0" xfId="0" applyAlignment="1" applyFont="1">
      <alignment horizontal="center" shrinkToFit="0" wrapText="1"/>
    </xf>
    <xf borderId="14" fillId="0" fontId="7" numFmtId="0" xfId="0" applyAlignment="1" applyBorder="1" applyFont="1">
      <alignment horizontal="center"/>
    </xf>
    <xf borderId="2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textRotation="90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0" fontId="4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31" fillId="0" fontId="5" numFmtId="0" xfId="0" applyAlignment="1" applyBorder="1" applyFont="1">
      <alignment horizontal="center" textRotation="90" vertical="center"/>
    </xf>
    <xf borderId="32" fillId="0" fontId="3" numFmtId="0" xfId="0" applyBorder="1" applyFont="1"/>
    <xf borderId="11" fillId="0" fontId="4" numFmtId="0" xfId="0" applyAlignment="1" applyBorder="1" applyFont="1">
      <alignment horizontal="center" vertical="center"/>
    </xf>
    <xf borderId="33" fillId="0" fontId="3" numFmtId="0" xfId="0" applyBorder="1" applyFont="1"/>
    <xf borderId="34" fillId="0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vertical="center"/>
    </xf>
    <xf borderId="14" fillId="0" fontId="3" numFmtId="0" xfId="0" applyBorder="1" applyFont="1"/>
    <xf borderId="8" fillId="0" fontId="3" numFmtId="0" xfId="0" applyBorder="1" applyFont="1"/>
    <xf borderId="15" fillId="0" fontId="7" numFmtId="0" xfId="0" applyAlignment="1" applyBorder="1" applyFont="1">
      <alignment horizontal="center" shrinkToFit="0" wrapText="1"/>
    </xf>
    <xf borderId="13" fillId="0" fontId="7" numFmtId="0" xfId="0" applyAlignment="1" applyBorder="1" applyFont="1">
      <alignment horizontal="center" shrinkToFit="0" wrapText="1"/>
    </xf>
    <xf borderId="19" fillId="0" fontId="7" numFmtId="0" xfId="0" applyAlignment="1" applyBorder="1" applyFont="1">
      <alignment horizontal="center" shrinkToFit="0" wrapText="1"/>
    </xf>
    <xf borderId="9" fillId="0" fontId="7" numFmtId="0" xfId="0" applyAlignment="1" applyBorder="1" applyFont="1">
      <alignment horizontal="center"/>
    </xf>
    <xf borderId="9" fillId="0" fontId="7" numFmtId="0" xfId="0" applyBorder="1" applyFont="1"/>
    <xf borderId="9" fillId="0" fontId="4" numFmtId="0" xfId="0" applyBorder="1" applyFont="1"/>
    <xf borderId="9" fillId="0" fontId="7" numFmtId="0" xfId="0" applyAlignment="1" applyBorder="1" applyFont="1">
      <alignment horizontal="center" shrinkToFit="0" wrapText="1"/>
    </xf>
    <xf borderId="10" fillId="0" fontId="7" numFmtId="0" xfId="0" applyAlignment="1" applyBorder="1" applyFont="1">
      <alignment horizontal="center"/>
    </xf>
    <xf borderId="36" fillId="0" fontId="5" numFmtId="0" xfId="0" applyAlignment="1" applyBorder="1" applyFont="1">
      <alignment horizontal="center" textRotation="90" vertical="center"/>
    </xf>
    <xf borderId="15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37" fillId="10" fontId="5" numFmtId="0" xfId="0" applyAlignment="1" applyBorder="1" applyFill="1" applyFont="1">
      <alignment horizontal="center" textRotation="90" vertical="center"/>
    </xf>
    <xf borderId="38" fillId="10" fontId="7" numFmtId="0" xfId="0" applyAlignment="1" applyBorder="1" applyFill="1" applyFont="1">
      <alignment horizontal="center"/>
    </xf>
    <xf borderId="39" fillId="10" fontId="7" numFmtId="0" xfId="0" applyBorder="1" applyFill="1" applyFont="1"/>
    <xf borderId="39" fillId="10" fontId="7" numFmtId="0" xfId="0" applyAlignment="1" applyBorder="1" applyFill="1" applyFont="1">
      <alignment horizontal="center"/>
    </xf>
    <xf borderId="40" fillId="0" fontId="4" numFmtId="0" xfId="0" applyAlignment="1" applyBorder="1" applyFont="1">
      <alignment horizontal="center" vertical="center"/>
    </xf>
    <xf borderId="38" fillId="10" fontId="7" numFmtId="0" xfId="0" applyAlignment="1" applyBorder="1" applyFill="1" applyFont="1">
      <alignment horizontal="center" shrinkToFit="0" wrapText="1"/>
    </xf>
    <xf borderId="41" fillId="10" fontId="7" numFmtId="0" xfId="0" applyAlignment="1" applyBorder="1" applyFill="1" applyFont="1">
      <alignment horizontal="center"/>
    </xf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10" fontId="7" numFmtId="0" xfId="0" applyBorder="1" applyFill="1" applyFont="1"/>
    <xf borderId="45" fillId="10" fontId="7" numFmtId="0" xfId="0" applyAlignment="1" applyBorder="1" applyFill="1" applyFont="1">
      <alignment horizontal="center"/>
    </xf>
    <xf borderId="46" fillId="0" fontId="3" numFmtId="0" xfId="0" applyBorder="1" applyFont="1"/>
    <xf borderId="45" fillId="10" fontId="4" numFmtId="0" xfId="0" applyBorder="1" applyFill="1" applyFont="1"/>
    <xf borderId="45" fillId="10" fontId="7" numFmtId="0" xfId="0" applyAlignment="1" applyBorder="1" applyFill="1" applyFont="1">
      <alignment horizontal="center" shrinkToFit="0" wrapText="1"/>
    </xf>
    <xf borderId="47" fillId="10" fontId="7" numFmtId="0" xfId="0" applyAlignment="1" applyBorder="1" applyFill="1" applyFont="1">
      <alignment horizontal="center"/>
    </xf>
    <xf borderId="39" fillId="10" fontId="7" numFmtId="0" xfId="0" applyAlignment="1" applyBorder="1" applyFill="1" applyFont="1">
      <alignment horizontal="center" shrinkToFit="0" wrapText="1"/>
    </xf>
    <xf borderId="48" fillId="10" fontId="7" numFmtId="0" xfId="0" applyAlignment="1" applyBorder="1" applyFill="1" applyFont="1">
      <alignment horizontal="center"/>
    </xf>
    <xf borderId="49" fillId="0" fontId="3" numFmtId="0" xfId="0" applyBorder="1" applyFont="1"/>
    <xf borderId="50" fillId="0" fontId="3" numFmtId="0" xfId="0" applyBorder="1" applyFont="1"/>
    <xf borderId="51" fillId="10" fontId="7" numFmtId="0" xfId="0" applyAlignment="1" applyBorder="1" applyFill="1" applyFont="1">
      <alignment horizontal="center"/>
    </xf>
    <xf borderId="52" fillId="10" fontId="7" numFmtId="0" xfId="0" applyAlignment="1" applyBorder="1" applyFill="1" applyFont="1">
      <alignment horizontal="center"/>
    </xf>
    <xf borderId="39" fillId="10" fontId="4" numFmtId="0" xfId="0" applyBorder="1" applyFill="1" applyFont="1"/>
    <xf borderId="53" fillId="10" fontId="7" numFmtId="0" xfId="0" applyAlignment="1" applyBorder="1" applyFill="1" applyFont="1">
      <alignment horizontal="center"/>
    </xf>
    <xf borderId="54" fillId="10" fontId="7" numFmtId="0" xfId="0" applyAlignment="1" applyBorder="1" applyFill="1" applyFont="1">
      <alignment horizontal="center"/>
    </xf>
    <xf borderId="40" fillId="0" fontId="7" numFmtId="0" xfId="0" applyAlignment="1" applyBorder="1" applyFont="1">
      <alignment horizontal="center"/>
    </xf>
    <xf borderId="39" fillId="11" fontId="5" numFmtId="0" xfId="0" applyAlignment="1" applyBorder="1" applyFill="1" applyFont="1">
      <alignment horizontal="center" vertical="center"/>
    </xf>
    <xf borderId="39" fillId="11" fontId="4" numFmtId="0" xfId="0" applyBorder="1" applyFill="1" applyFont="1"/>
    <xf borderId="39" fillId="11" fontId="5" numFmtId="0" xfId="0" applyBorder="1" applyFill="1" applyFont="1"/>
    <xf borderId="5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/>
      <c r="C1" s="3"/>
      <c r="D1" s="3"/>
      <c r="E1" s="3"/>
      <c r="F1" s="3"/>
      <c r="G1" s="3"/>
      <c r="H1" s="3"/>
      <c r="I1" s="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2</v>
      </c>
      <c r="B2" s="11" t="s">
        <v>3</v>
      </c>
      <c r="C2" s="13" t="s">
        <v>4</v>
      </c>
      <c r="D2" s="15" t="s">
        <v>5</v>
      </c>
      <c r="E2" s="17" t="s">
        <v>6</v>
      </c>
      <c r="F2" s="19" t="s">
        <v>7</v>
      </c>
      <c r="G2" s="21" t="s">
        <v>8</v>
      </c>
      <c r="H2" s="23" t="s">
        <v>9</v>
      </c>
      <c r="I2" s="23" t="s">
        <v>10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7" t="s">
        <v>12</v>
      </c>
      <c r="B3" s="31">
        <v>400.0</v>
      </c>
      <c r="C3" s="32" t="s">
        <v>17</v>
      </c>
      <c r="D3" s="32" t="s">
        <v>14</v>
      </c>
      <c r="E3" s="32" t="s">
        <v>14</v>
      </c>
      <c r="F3" s="32" t="s">
        <v>15</v>
      </c>
      <c r="G3" s="32" t="s">
        <v>18</v>
      </c>
      <c r="H3" s="32">
        <v>8.0</v>
      </c>
      <c r="I3" s="34">
        <v>300.0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5"/>
      <c r="B4" s="36"/>
      <c r="C4" s="37" t="s">
        <v>30</v>
      </c>
      <c r="D4" s="38"/>
      <c r="E4" s="38"/>
      <c r="F4" s="38"/>
      <c r="G4" s="37" t="s">
        <v>33</v>
      </c>
      <c r="H4" s="38"/>
      <c r="I4" s="39">
        <v>100.0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5"/>
      <c r="B5" s="31" t="s">
        <v>39</v>
      </c>
      <c r="C5" s="32" t="s">
        <v>42</v>
      </c>
      <c r="D5" s="32" t="s">
        <v>43</v>
      </c>
      <c r="E5" s="32" t="s">
        <v>37</v>
      </c>
      <c r="F5" s="32" t="s">
        <v>15</v>
      </c>
      <c r="G5" s="32" t="s">
        <v>44</v>
      </c>
      <c r="H5" s="32">
        <v>40.0</v>
      </c>
      <c r="I5" s="34">
        <v>600.0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5"/>
      <c r="B6" s="35"/>
      <c r="C6" s="41" t="s">
        <v>45</v>
      </c>
      <c r="D6" s="41" t="s">
        <v>46</v>
      </c>
      <c r="E6" s="41" t="s">
        <v>22</v>
      </c>
      <c r="F6" s="41" t="s">
        <v>28</v>
      </c>
      <c r="G6" s="41" t="s">
        <v>47</v>
      </c>
      <c r="I6" s="42">
        <v>400.0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5"/>
      <c r="B7" s="35"/>
      <c r="C7" s="41" t="s">
        <v>49</v>
      </c>
      <c r="D7" s="41" t="s">
        <v>50</v>
      </c>
      <c r="E7" s="41" t="s">
        <v>14</v>
      </c>
      <c r="F7" s="41" t="s">
        <v>15</v>
      </c>
      <c r="G7" s="41" t="s">
        <v>51</v>
      </c>
      <c r="I7" s="42">
        <v>600.0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5"/>
      <c r="B8" s="36"/>
      <c r="C8" s="37" t="s">
        <v>52</v>
      </c>
      <c r="D8" s="37" t="s">
        <v>46</v>
      </c>
      <c r="E8" s="37" t="s">
        <v>22</v>
      </c>
      <c r="F8" s="37" t="s">
        <v>28</v>
      </c>
      <c r="G8" s="37" t="s">
        <v>47</v>
      </c>
      <c r="H8" s="38"/>
      <c r="I8" s="39">
        <v>400.0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5"/>
      <c r="B9" s="46">
        <v>300.0</v>
      </c>
      <c r="C9" s="47" t="s">
        <v>53</v>
      </c>
      <c r="D9" s="47" t="s">
        <v>14</v>
      </c>
      <c r="E9" s="47" t="s">
        <v>54</v>
      </c>
      <c r="F9" s="47" t="s">
        <v>15</v>
      </c>
      <c r="G9" s="47" t="s">
        <v>55</v>
      </c>
      <c r="H9" s="47">
        <v>7.0</v>
      </c>
      <c r="I9" s="48">
        <v>300.0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9"/>
      <c r="B10" s="50" t="s">
        <v>48</v>
      </c>
      <c r="C10" s="44"/>
      <c r="D10" s="44"/>
      <c r="E10" s="44"/>
      <c r="F10" s="44"/>
      <c r="G10" s="45"/>
      <c r="H10" s="55">
        <f t="shared" ref="H10:I10" si="1">SUM(H3:H9)</f>
        <v>55</v>
      </c>
      <c r="I10" s="59">
        <f t="shared" si="1"/>
        <v>2700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4" t="s">
        <v>65</v>
      </c>
      <c r="B11" s="60">
        <v>600.0</v>
      </c>
      <c r="C11" s="37" t="s">
        <v>70</v>
      </c>
      <c r="D11" s="37" t="s">
        <v>14</v>
      </c>
      <c r="E11" s="37" t="s">
        <v>73</v>
      </c>
      <c r="F11" s="37" t="s">
        <v>15</v>
      </c>
      <c r="G11" s="37" t="s">
        <v>76</v>
      </c>
      <c r="H11" s="37">
        <v>10.0</v>
      </c>
      <c r="I11" s="39">
        <v>600.0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3"/>
      <c r="B12" s="46">
        <v>100.0</v>
      </c>
      <c r="C12" s="47" t="s">
        <v>77</v>
      </c>
      <c r="D12" s="47" t="s">
        <v>14</v>
      </c>
      <c r="E12" s="47" t="s">
        <v>14</v>
      </c>
      <c r="F12" s="47" t="s">
        <v>28</v>
      </c>
      <c r="G12" s="47" t="s">
        <v>78</v>
      </c>
      <c r="H12" s="47">
        <v>2.0</v>
      </c>
      <c r="I12" s="48">
        <v>100.0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3"/>
      <c r="B13" s="46">
        <v>400.0</v>
      </c>
      <c r="C13" s="47" t="s">
        <v>81</v>
      </c>
      <c r="D13" s="47" t="s">
        <v>14</v>
      </c>
      <c r="E13" s="47" t="s">
        <v>27</v>
      </c>
      <c r="F13" s="47" t="s">
        <v>15</v>
      </c>
      <c r="G13" s="47" t="s">
        <v>29</v>
      </c>
      <c r="H13" s="47">
        <v>10.0</v>
      </c>
      <c r="I13" s="48">
        <v>400.0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3"/>
      <c r="B14" s="46" t="s">
        <v>80</v>
      </c>
      <c r="C14" s="47" t="s">
        <v>71</v>
      </c>
      <c r="D14" s="47" t="s">
        <v>83</v>
      </c>
      <c r="E14" s="47" t="s">
        <v>14</v>
      </c>
      <c r="F14" s="47" t="s">
        <v>28</v>
      </c>
      <c r="G14" s="47" t="s">
        <v>78</v>
      </c>
      <c r="H14" s="47">
        <v>5.0</v>
      </c>
      <c r="I14" s="48">
        <v>200.0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3"/>
      <c r="B15" s="46" t="s">
        <v>85</v>
      </c>
      <c r="C15" s="47" t="s">
        <v>86</v>
      </c>
      <c r="D15" s="47" t="s">
        <v>88</v>
      </c>
      <c r="E15" s="47" t="s">
        <v>22</v>
      </c>
      <c r="F15" s="47" t="s">
        <v>15</v>
      </c>
      <c r="G15" s="47" t="s">
        <v>89</v>
      </c>
      <c r="H15" s="47">
        <v>8.0</v>
      </c>
      <c r="I15" s="48">
        <v>400.0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3"/>
      <c r="B16" s="46" t="s">
        <v>91</v>
      </c>
      <c r="C16" s="47" t="s">
        <v>71</v>
      </c>
      <c r="D16" s="47" t="s">
        <v>83</v>
      </c>
      <c r="E16" s="47" t="s">
        <v>14</v>
      </c>
      <c r="F16" s="47" t="s">
        <v>28</v>
      </c>
      <c r="G16" s="47" t="s">
        <v>78</v>
      </c>
      <c r="H16" s="47">
        <v>9.0</v>
      </c>
      <c r="I16" s="48">
        <v>300.0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3"/>
      <c r="B17" s="31" t="s">
        <v>24</v>
      </c>
      <c r="C17" s="32" t="s">
        <v>92</v>
      </c>
      <c r="D17" s="32" t="s">
        <v>26</v>
      </c>
      <c r="E17" s="32" t="s">
        <v>14</v>
      </c>
      <c r="F17" s="32" t="s">
        <v>28</v>
      </c>
      <c r="G17" s="32" t="s">
        <v>51</v>
      </c>
      <c r="H17" s="32">
        <v>14.0</v>
      </c>
      <c r="I17" s="34">
        <v>400.0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3"/>
      <c r="B18" s="36"/>
      <c r="C18" s="37" t="s">
        <v>94</v>
      </c>
      <c r="D18" s="38"/>
      <c r="E18" s="37" t="s">
        <v>22</v>
      </c>
      <c r="F18" s="37" t="s">
        <v>15</v>
      </c>
      <c r="G18" s="38"/>
      <c r="H18" s="38"/>
      <c r="I18" s="39">
        <v>200.0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0"/>
      <c r="B19" s="50" t="s">
        <v>48</v>
      </c>
      <c r="C19" s="44"/>
      <c r="D19" s="44"/>
      <c r="E19" s="44"/>
      <c r="F19" s="44"/>
      <c r="G19" s="45"/>
      <c r="H19" s="55">
        <f t="shared" ref="H19:I19" si="2">SUM(H11:H18)</f>
        <v>58</v>
      </c>
      <c r="I19" s="59">
        <f t="shared" si="2"/>
        <v>2600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1" t="s">
        <v>109</v>
      </c>
      <c r="B20" s="62" t="s">
        <v>112</v>
      </c>
      <c r="C20" s="63" t="s">
        <v>115</v>
      </c>
      <c r="D20" s="63" t="s">
        <v>116</v>
      </c>
      <c r="E20" s="63" t="s">
        <v>54</v>
      </c>
      <c r="F20" s="63" t="s">
        <v>15</v>
      </c>
      <c r="G20" s="63" t="s">
        <v>121</v>
      </c>
      <c r="H20" s="63">
        <v>8.0</v>
      </c>
      <c r="I20" s="64">
        <v>400.0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5"/>
      <c r="B21" s="35"/>
      <c r="C21" s="41" t="s">
        <v>122</v>
      </c>
      <c r="E21" s="41" t="s">
        <v>22</v>
      </c>
      <c r="F21" s="41" t="s">
        <v>15</v>
      </c>
      <c r="G21" s="41" t="s">
        <v>123</v>
      </c>
      <c r="H21" s="41">
        <v>8.0</v>
      </c>
      <c r="I21" s="42">
        <v>400.0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5"/>
      <c r="B22" s="36"/>
      <c r="C22" s="37" t="s">
        <v>124</v>
      </c>
      <c r="D22" s="38"/>
      <c r="E22" s="37" t="s">
        <v>14</v>
      </c>
      <c r="F22" s="37" t="s">
        <v>103</v>
      </c>
      <c r="G22" s="37" t="s">
        <v>125</v>
      </c>
      <c r="H22" s="37">
        <v>8.0</v>
      </c>
      <c r="I22" s="39">
        <v>400.0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5"/>
      <c r="B23" s="31" t="s">
        <v>128</v>
      </c>
      <c r="C23" s="32" t="s">
        <v>129</v>
      </c>
      <c r="D23" s="32" t="s">
        <v>130</v>
      </c>
      <c r="E23" s="32" t="s">
        <v>37</v>
      </c>
      <c r="F23" s="32" t="s">
        <v>103</v>
      </c>
      <c r="G23" s="32" t="s">
        <v>132</v>
      </c>
      <c r="H23" s="32">
        <v>7.0</v>
      </c>
      <c r="I23" s="34">
        <v>200.0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5"/>
      <c r="B24" s="35"/>
      <c r="C24" s="41" t="s">
        <v>129</v>
      </c>
      <c r="E24" s="41" t="s">
        <v>22</v>
      </c>
      <c r="H24" s="41">
        <v>7.0</v>
      </c>
      <c r="I24" s="42">
        <v>200.0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5"/>
      <c r="B25" s="35"/>
      <c r="C25" s="41" t="s">
        <v>129</v>
      </c>
      <c r="E25" s="41" t="s">
        <v>14</v>
      </c>
      <c r="H25" s="41">
        <v>7.0</v>
      </c>
      <c r="I25" s="42">
        <v>200.0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5"/>
      <c r="B26" s="36"/>
      <c r="C26" s="37" t="s">
        <v>138</v>
      </c>
      <c r="D26" s="38"/>
      <c r="E26" s="37" t="s">
        <v>14</v>
      </c>
      <c r="F26" s="38"/>
      <c r="G26" s="38"/>
      <c r="H26" s="37">
        <v>7.0</v>
      </c>
      <c r="I26" s="39">
        <v>200.0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5"/>
      <c r="B27" s="31" t="s">
        <v>141</v>
      </c>
      <c r="C27" s="32" t="s">
        <v>143</v>
      </c>
      <c r="D27" s="32" t="s">
        <v>144</v>
      </c>
      <c r="E27" s="32" t="s">
        <v>14</v>
      </c>
      <c r="F27" s="32" t="s">
        <v>28</v>
      </c>
      <c r="G27" s="32" t="s">
        <v>146</v>
      </c>
      <c r="H27" s="32">
        <v>8.0</v>
      </c>
      <c r="I27" s="34">
        <v>400.0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5"/>
      <c r="B28" s="36"/>
      <c r="C28" s="37" t="s">
        <v>151</v>
      </c>
      <c r="D28" s="38"/>
      <c r="E28" s="37" t="s">
        <v>152</v>
      </c>
      <c r="F28" s="37" t="s">
        <v>41</v>
      </c>
      <c r="G28" s="37" t="s">
        <v>40</v>
      </c>
      <c r="H28" s="37">
        <v>8.0</v>
      </c>
      <c r="I28" s="39">
        <v>400.0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6"/>
      <c r="B29" s="67" t="s">
        <v>48</v>
      </c>
      <c r="C29" s="68"/>
      <c r="D29" s="68"/>
      <c r="E29" s="68"/>
      <c r="F29" s="68"/>
      <c r="G29" s="69"/>
      <c r="H29" s="55">
        <f t="shared" ref="H29:I29" si="3">SUM(H20:H28)</f>
        <v>68</v>
      </c>
      <c r="I29" s="59">
        <f t="shared" si="3"/>
        <v>2800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0" t="s">
        <v>156</v>
      </c>
      <c r="B30" s="62" t="s">
        <v>159</v>
      </c>
      <c r="C30" s="63" t="s">
        <v>160</v>
      </c>
      <c r="D30" s="63" t="s">
        <v>59</v>
      </c>
      <c r="E30" s="63" t="s">
        <v>14</v>
      </c>
      <c r="F30" s="63" t="s">
        <v>15</v>
      </c>
      <c r="G30" s="63" t="s">
        <v>18</v>
      </c>
      <c r="H30" s="63">
        <v>4.0</v>
      </c>
      <c r="I30" s="64">
        <v>200.0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1"/>
      <c r="B31" s="35"/>
      <c r="C31" s="41" t="s">
        <v>166</v>
      </c>
      <c r="E31" s="41" t="s">
        <v>27</v>
      </c>
      <c r="F31" s="41" t="s">
        <v>15</v>
      </c>
      <c r="G31" s="41" t="s">
        <v>76</v>
      </c>
      <c r="H31" s="41">
        <v>8.0</v>
      </c>
      <c r="I31" s="42">
        <v>400.0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1"/>
      <c r="B32" s="36"/>
      <c r="C32" s="37" t="s">
        <v>167</v>
      </c>
      <c r="D32" s="38"/>
      <c r="E32" s="37" t="s">
        <v>54</v>
      </c>
      <c r="F32" s="37" t="s">
        <v>15</v>
      </c>
      <c r="G32" s="37" t="s">
        <v>168</v>
      </c>
      <c r="H32" s="37">
        <v>12.0</v>
      </c>
      <c r="I32" s="39">
        <v>600.0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1"/>
      <c r="B33" s="72" t="s">
        <v>169</v>
      </c>
      <c r="C33" s="41" t="s">
        <v>170</v>
      </c>
      <c r="D33" s="41" t="s">
        <v>59</v>
      </c>
      <c r="E33" s="41" t="s">
        <v>14</v>
      </c>
      <c r="F33" s="41" t="s">
        <v>28</v>
      </c>
      <c r="G33" s="41" t="s">
        <v>51</v>
      </c>
      <c r="H33" s="41">
        <v>27.0</v>
      </c>
      <c r="I33" s="42">
        <v>1050.0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1"/>
      <c r="B34" s="35"/>
      <c r="C34" s="41" t="s">
        <v>172</v>
      </c>
      <c r="D34" s="41" t="s">
        <v>59</v>
      </c>
      <c r="E34" s="41" t="s">
        <v>22</v>
      </c>
      <c r="F34" s="41" t="s">
        <v>15</v>
      </c>
      <c r="G34" s="41" t="s">
        <v>173</v>
      </c>
      <c r="H34" s="41">
        <v>12.0</v>
      </c>
      <c r="I34" s="42">
        <v>450.0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1"/>
      <c r="B35" s="36"/>
      <c r="C35" s="37" t="s">
        <v>174</v>
      </c>
      <c r="D35" s="37" t="s">
        <v>59</v>
      </c>
      <c r="E35" s="37" t="s">
        <v>14</v>
      </c>
      <c r="F35" s="37" t="s">
        <v>15</v>
      </c>
      <c r="G35" s="37" t="s">
        <v>134</v>
      </c>
      <c r="H35" s="37">
        <v>8.0</v>
      </c>
      <c r="I35" s="39">
        <v>300.0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3"/>
      <c r="B36" s="67" t="s">
        <v>48</v>
      </c>
      <c r="C36" s="68"/>
      <c r="D36" s="68"/>
      <c r="E36" s="68"/>
      <c r="F36" s="68"/>
      <c r="G36" s="69"/>
      <c r="H36" s="55">
        <f t="shared" ref="H36:I36" si="4">SUM(H30:H35)</f>
        <v>71</v>
      </c>
      <c r="I36" s="59">
        <f t="shared" si="4"/>
        <v>3000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0" t="s">
        <v>178</v>
      </c>
      <c r="B37" s="74">
        <v>800.0</v>
      </c>
      <c r="C37" s="74" t="s">
        <v>179</v>
      </c>
      <c r="D37" s="74" t="s">
        <v>14</v>
      </c>
      <c r="E37" s="74" t="s">
        <v>27</v>
      </c>
      <c r="F37" s="74" t="s">
        <v>15</v>
      </c>
      <c r="G37" s="74" t="s">
        <v>181</v>
      </c>
      <c r="H37" s="74">
        <v>15.0</v>
      </c>
      <c r="I37" s="75">
        <v>800.0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1"/>
      <c r="B38" s="41" t="s">
        <v>184</v>
      </c>
      <c r="C38" s="41" t="s">
        <v>71</v>
      </c>
      <c r="D38" s="41" t="s">
        <v>83</v>
      </c>
      <c r="E38" s="41" t="s">
        <v>14</v>
      </c>
      <c r="F38" s="41" t="s">
        <v>15</v>
      </c>
      <c r="G38" s="41" t="s">
        <v>186</v>
      </c>
      <c r="H38" s="41">
        <v>12.0</v>
      </c>
      <c r="I38" s="42">
        <v>1200.0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1"/>
      <c r="E39" s="41" t="s">
        <v>37</v>
      </c>
      <c r="I39" s="7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1"/>
      <c r="B40" s="38"/>
      <c r="C40" s="38"/>
      <c r="D40" s="38"/>
      <c r="E40" s="37" t="s">
        <v>193</v>
      </c>
      <c r="F40" s="38"/>
      <c r="G40" s="38"/>
      <c r="H40" s="38"/>
      <c r="I40" s="7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1"/>
      <c r="B41" s="37" t="s">
        <v>34</v>
      </c>
      <c r="C41" s="37" t="s">
        <v>63</v>
      </c>
      <c r="D41" s="37" t="s">
        <v>26</v>
      </c>
      <c r="E41" s="37" t="s">
        <v>22</v>
      </c>
      <c r="F41" s="37" t="s">
        <v>74</v>
      </c>
      <c r="G41" s="37" t="s">
        <v>195</v>
      </c>
      <c r="H41" s="37">
        <v>10.0</v>
      </c>
      <c r="I41" s="39">
        <v>400.0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1"/>
      <c r="B42" s="31" t="s">
        <v>196</v>
      </c>
      <c r="C42" s="32" t="s">
        <v>197</v>
      </c>
      <c r="D42" s="32" t="s">
        <v>21</v>
      </c>
      <c r="E42" s="32" t="s">
        <v>14</v>
      </c>
      <c r="F42" s="32" t="s">
        <v>15</v>
      </c>
      <c r="G42" s="32" t="s">
        <v>198</v>
      </c>
      <c r="H42" s="32">
        <v>12.0</v>
      </c>
      <c r="I42" s="34">
        <v>150.0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1"/>
      <c r="B43" s="35"/>
      <c r="C43" s="41" t="s">
        <v>199</v>
      </c>
      <c r="E43" s="41" t="s">
        <v>14</v>
      </c>
      <c r="I43" s="42">
        <v>150.0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1"/>
      <c r="B44" s="36"/>
      <c r="C44" s="37" t="s">
        <v>201</v>
      </c>
      <c r="D44" s="38"/>
      <c r="E44" s="37" t="s">
        <v>14</v>
      </c>
      <c r="F44" s="38"/>
      <c r="G44" s="38"/>
      <c r="H44" s="38"/>
      <c r="I44" s="39">
        <v>150.0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1"/>
      <c r="B45" s="37" t="s">
        <v>204</v>
      </c>
      <c r="C45" s="37" t="s">
        <v>205</v>
      </c>
      <c r="D45" s="37" t="s">
        <v>14</v>
      </c>
      <c r="E45" s="37" t="s">
        <v>14</v>
      </c>
      <c r="F45" s="37" t="s">
        <v>15</v>
      </c>
      <c r="G45" s="37" t="s">
        <v>206</v>
      </c>
      <c r="H45" s="37">
        <v>15.0</v>
      </c>
      <c r="I45" s="39">
        <v>250.0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3"/>
      <c r="B46" s="67" t="s">
        <v>48</v>
      </c>
      <c r="C46" s="68"/>
      <c r="D46" s="68"/>
      <c r="E46" s="68"/>
      <c r="F46" s="68"/>
      <c r="G46" s="69"/>
      <c r="H46" s="55">
        <f t="shared" ref="H46:I46" si="5">SUM(H37:H45)</f>
        <v>64</v>
      </c>
      <c r="I46" s="59">
        <f t="shared" si="5"/>
        <v>3100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" t="s">
        <v>211</v>
      </c>
      <c r="B48" s="3"/>
      <c r="C48" s="3"/>
      <c r="D48" s="3"/>
      <c r="E48" s="3"/>
      <c r="F48" s="3"/>
      <c r="G48" s="3"/>
      <c r="H48" s="3"/>
      <c r="I48" s="4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9" t="s">
        <v>2</v>
      </c>
      <c r="B49" s="11" t="s">
        <v>3</v>
      </c>
      <c r="C49" s="13" t="s">
        <v>4</v>
      </c>
      <c r="D49" s="15" t="s">
        <v>5</v>
      </c>
      <c r="E49" s="17" t="s">
        <v>6</v>
      </c>
      <c r="F49" s="19" t="s">
        <v>7</v>
      </c>
      <c r="G49" s="21" t="s">
        <v>8</v>
      </c>
      <c r="H49" s="23" t="s">
        <v>9</v>
      </c>
      <c r="I49" s="23" t="s">
        <v>10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6" t="s">
        <v>215</v>
      </c>
      <c r="B50" s="41">
        <v>700.0</v>
      </c>
      <c r="C50" s="41" t="s">
        <v>217</v>
      </c>
      <c r="D50" s="41" t="s">
        <v>116</v>
      </c>
      <c r="E50" s="41" t="s">
        <v>22</v>
      </c>
      <c r="F50" s="41" t="s">
        <v>15</v>
      </c>
      <c r="G50" s="41" t="s">
        <v>220</v>
      </c>
      <c r="H50" s="41">
        <v>14.0</v>
      </c>
      <c r="I50" s="42">
        <v>400.0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3"/>
      <c r="B51" s="38"/>
      <c r="C51" s="37" t="s">
        <v>222</v>
      </c>
      <c r="D51" s="38"/>
      <c r="E51" s="38"/>
      <c r="F51" s="38"/>
      <c r="G51" s="37" t="s">
        <v>198</v>
      </c>
      <c r="H51" s="38"/>
      <c r="I51" s="39">
        <v>300.0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3"/>
      <c r="B52" s="37">
        <v>600.0</v>
      </c>
      <c r="C52" s="37" t="s">
        <v>224</v>
      </c>
      <c r="D52" s="37" t="s">
        <v>225</v>
      </c>
      <c r="E52" s="37" t="s">
        <v>14</v>
      </c>
      <c r="F52" s="37" t="s">
        <v>15</v>
      </c>
      <c r="G52" s="37" t="s">
        <v>226</v>
      </c>
      <c r="H52" s="37">
        <v>12.5</v>
      </c>
      <c r="I52" s="39">
        <v>600.0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3"/>
      <c r="B53" s="41">
        <v>500.0</v>
      </c>
      <c r="C53" s="41" t="s">
        <v>227</v>
      </c>
      <c r="D53" s="41" t="s">
        <v>228</v>
      </c>
      <c r="E53" s="41" t="s">
        <v>27</v>
      </c>
      <c r="F53" s="41" t="s">
        <v>15</v>
      </c>
      <c r="G53" s="41" t="s">
        <v>145</v>
      </c>
      <c r="H53" s="41">
        <v>12.0</v>
      </c>
      <c r="I53" s="42">
        <v>500.0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3"/>
      <c r="B54" s="38"/>
      <c r="C54" s="37" t="s">
        <v>230</v>
      </c>
      <c r="D54" s="38"/>
      <c r="E54" s="37" t="s">
        <v>14</v>
      </c>
      <c r="F54" s="38"/>
      <c r="G54" s="38"/>
      <c r="H54" s="38"/>
      <c r="I54" s="7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3"/>
      <c r="B55" s="37">
        <v>400.0</v>
      </c>
      <c r="C55" s="37" t="s">
        <v>233</v>
      </c>
      <c r="D55" s="37" t="s">
        <v>72</v>
      </c>
      <c r="E55" s="37" t="s">
        <v>14</v>
      </c>
      <c r="F55" s="37" t="s">
        <v>15</v>
      </c>
      <c r="G55" s="37" t="s">
        <v>198</v>
      </c>
      <c r="H55" s="37">
        <v>9.5</v>
      </c>
      <c r="I55" s="39">
        <v>400.0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3"/>
      <c r="B56" s="37">
        <v>300.0</v>
      </c>
      <c r="C56" s="37" t="s">
        <v>238</v>
      </c>
      <c r="D56" s="37" t="s">
        <v>187</v>
      </c>
      <c r="E56" s="37" t="s">
        <v>22</v>
      </c>
      <c r="F56" s="37" t="s">
        <v>28</v>
      </c>
      <c r="G56" s="37" t="s">
        <v>239</v>
      </c>
      <c r="H56" s="37">
        <v>6.0</v>
      </c>
      <c r="I56" s="39">
        <v>300.0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3"/>
      <c r="B57" s="37">
        <v>200.0</v>
      </c>
      <c r="C57" s="37" t="s">
        <v>243</v>
      </c>
      <c r="D57" s="37" t="s">
        <v>59</v>
      </c>
      <c r="E57" s="37" t="s">
        <v>14</v>
      </c>
      <c r="F57" s="37" t="s">
        <v>28</v>
      </c>
      <c r="G57" s="37" t="s">
        <v>244</v>
      </c>
      <c r="H57" s="37">
        <v>4.0</v>
      </c>
      <c r="I57" s="39">
        <v>200.0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3"/>
      <c r="B58" s="37">
        <v>100.0</v>
      </c>
      <c r="C58" s="37" t="s">
        <v>40</v>
      </c>
      <c r="D58" s="37" t="s">
        <v>14</v>
      </c>
      <c r="E58" s="37" t="s">
        <v>14</v>
      </c>
      <c r="F58" s="37" t="s">
        <v>15</v>
      </c>
      <c r="G58" s="37" t="s">
        <v>245</v>
      </c>
      <c r="H58" s="37">
        <v>2.0</v>
      </c>
      <c r="I58" s="39">
        <v>100.0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40"/>
      <c r="B59" s="67" t="s">
        <v>48</v>
      </c>
      <c r="C59" s="68"/>
      <c r="D59" s="68"/>
      <c r="E59" s="68"/>
      <c r="F59" s="68"/>
      <c r="G59" s="69"/>
      <c r="H59" s="55">
        <f t="shared" ref="H59:I59" si="6">SUM(H50:H58)</f>
        <v>60</v>
      </c>
      <c r="I59" s="59">
        <f t="shared" si="6"/>
        <v>2800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4" t="s">
        <v>250</v>
      </c>
      <c r="B60" s="72" t="s">
        <v>252</v>
      </c>
      <c r="C60" s="41" t="s">
        <v>254</v>
      </c>
      <c r="D60" s="41" t="s">
        <v>255</v>
      </c>
      <c r="E60" s="41" t="s">
        <v>14</v>
      </c>
      <c r="F60" s="41" t="s">
        <v>15</v>
      </c>
      <c r="G60" s="41" t="s">
        <v>256</v>
      </c>
      <c r="H60" s="41">
        <v>10.0</v>
      </c>
      <c r="I60" s="42">
        <v>500.0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33"/>
      <c r="B61" s="35"/>
      <c r="C61" s="41" t="s">
        <v>258</v>
      </c>
      <c r="D61" s="41" t="s">
        <v>255</v>
      </c>
      <c r="E61" s="41" t="s">
        <v>22</v>
      </c>
      <c r="F61" s="41" t="s">
        <v>28</v>
      </c>
      <c r="G61" s="41" t="s">
        <v>47</v>
      </c>
      <c r="H61" s="41">
        <v>10.0</v>
      </c>
      <c r="I61" s="42">
        <v>500.0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3"/>
      <c r="B62" s="35"/>
      <c r="C62" s="41" t="s">
        <v>259</v>
      </c>
      <c r="D62" s="41" t="s">
        <v>72</v>
      </c>
      <c r="E62" s="41" t="s">
        <v>14</v>
      </c>
      <c r="F62" s="41" t="s">
        <v>15</v>
      </c>
      <c r="G62" s="41" t="s">
        <v>260</v>
      </c>
      <c r="H62" s="41">
        <v>12.0</v>
      </c>
      <c r="I62" s="42">
        <v>500.0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33"/>
      <c r="B63" s="35"/>
      <c r="C63" s="41" t="s">
        <v>261</v>
      </c>
      <c r="D63" s="41" t="s">
        <v>59</v>
      </c>
      <c r="E63" s="41" t="s">
        <v>37</v>
      </c>
      <c r="F63" s="41" t="s">
        <v>28</v>
      </c>
      <c r="G63" s="41" t="s">
        <v>69</v>
      </c>
      <c r="H63" s="41">
        <v>10.0</v>
      </c>
      <c r="I63" s="42">
        <v>500.0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3"/>
      <c r="B64" s="36"/>
      <c r="C64" s="37" t="s">
        <v>259</v>
      </c>
      <c r="D64" s="37" t="s">
        <v>59</v>
      </c>
      <c r="E64" s="37" t="s">
        <v>14</v>
      </c>
      <c r="F64" s="37" t="s">
        <v>15</v>
      </c>
      <c r="G64" s="37" t="s">
        <v>263</v>
      </c>
      <c r="H64" s="37">
        <v>12.0</v>
      </c>
      <c r="I64" s="39">
        <v>500.0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33"/>
      <c r="B65" s="37" t="s">
        <v>265</v>
      </c>
      <c r="C65" s="37" t="s">
        <v>266</v>
      </c>
      <c r="D65" s="37" t="s">
        <v>68</v>
      </c>
      <c r="E65" s="37" t="s">
        <v>22</v>
      </c>
      <c r="F65" s="37" t="s">
        <v>28</v>
      </c>
      <c r="G65" s="37" t="s">
        <v>267</v>
      </c>
      <c r="H65" s="37">
        <v>14.0</v>
      </c>
      <c r="I65" s="39">
        <v>400.0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3"/>
      <c r="B66" s="37">
        <v>100.0</v>
      </c>
      <c r="C66" s="37" t="s">
        <v>40</v>
      </c>
      <c r="D66" s="37" t="s">
        <v>14</v>
      </c>
      <c r="E66" s="37" t="s">
        <v>14</v>
      </c>
      <c r="F66" s="37" t="s">
        <v>41</v>
      </c>
      <c r="G66" s="37" t="s">
        <v>40</v>
      </c>
      <c r="H66" s="37">
        <v>2.0</v>
      </c>
      <c r="I66" s="39">
        <v>100.0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40"/>
      <c r="B67" s="67" t="s">
        <v>48</v>
      </c>
      <c r="C67" s="68"/>
      <c r="D67" s="68"/>
      <c r="E67" s="68"/>
      <c r="F67" s="68"/>
      <c r="G67" s="69"/>
      <c r="H67" s="55">
        <f t="shared" ref="H67:I67" si="7">SUM(H60:H66)</f>
        <v>70</v>
      </c>
      <c r="I67" s="59">
        <f t="shared" si="7"/>
        <v>3000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4" t="s">
        <v>276</v>
      </c>
      <c r="B68" s="37">
        <v>400.0</v>
      </c>
      <c r="C68" s="37" t="s">
        <v>20</v>
      </c>
      <c r="D68" s="37" t="s">
        <v>14</v>
      </c>
      <c r="E68" s="37" t="s">
        <v>14</v>
      </c>
      <c r="F68" s="37" t="s">
        <v>15</v>
      </c>
      <c r="G68" s="37" t="s">
        <v>18</v>
      </c>
      <c r="H68" s="37">
        <v>8.0</v>
      </c>
      <c r="I68" s="39">
        <v>400.0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33"/>
      <c r="B69" s="37" t="s">
        <v>117</v>
      </c>
      <c r="C69" s="37" t="s">
        <v>278</v>
      </c>
      <c r="D69" s="37" t="s">
        <v>26</v>
      </c>
      <c r="E69" s="37" t="s">
        <v>14</v>
      </c>
      <c r="F69" s="37" t="s">
        <v>15</v>
      </c>
      <c r="G69" s="37" t="s">
        <v>18</v>
      </c>
      <c r="H69" s="37">
        <v>5.0</v>
      </c>
      <c r="I69" s="39">
        <v>200.0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3"/>
      <c r="B70" s="41" t="s">
        <v>39</v>
      </c>
      <c r="C70" s="41" t="s">
        <v>279</v>
      </c>
      <c r="D70" s="41" t="s">
        <v>72</v>
      </c>
      <c r="E70" s="41" t="s">
        <v>280</v>
      </c>
      <c r="F70" s="41" t="s">
        <v>15</v>
      </c>
      <c r="G70" s="41" t="s">
        <v>76</v>
      </c>
      <c r="H70" s="41">
        <v>7.5</v>
      </c>
      <c r="I70" s="42">
        <v>400.0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33"/>
      <c r="C71" s="41" t="s">
        <v>281</v>
      </c>
      <c r="E71" s="41" t="s">
        <v>37</v>
      </c>
      <c r="F71" s="41" t="s">
        <v>28</v>
      </c>
      <c r="G71" s="41" t="s">
        <v>23</v>
      </c>
      <c r="H71" s="41">
        <v>7.5</v>
      </c>
      <c r="I71" s="42">
        <v>400.0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33"/>
      <c r="C72" s="41" t="s">
        <v>282</v>
      </c>
      <c r="E72" s="41" t="s">
        <v>22</v>
      </c>
      <c r="F72" s="41" t="s">
        <v>15</v>
      </c>
      <c r="G72" s="41" t="s">
        <v>23</v>
      </c>
      <c r="H72" s="41">
        <v>3.5</v>
      </c>
      <c r="I72" s="42">
        <v>200.0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33"/>
      <c r="C73" s="41" t="s">
        <v>284</v>
      </c>
      <c r="E73" s="41" t="s">
        <v>14</v>
      </c>
      <c r="F73" s="41" t="s">
        <v>15</v>
      </c>
      <c r="G73" s="41" t="s">
        <v>285</v>
      </c>
      <c r="H73" s="41">
        <v>9.5</v>
      </c>
      <c r="I73" s="42">
        <v>400.0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33"/>
      <c r="C74" s="41" t="s">
        <v>286</v>
      </c>
      <c r="E74" s="41" t="s">
        <v>14</v>
      </c>
      <c r="F74" s="41" t="s">
        <v>15</v>
      </c>
      <c r="G74" s="41" t="s">
        <v>29</v>
      </c>
      <c r="H74" s="41">
        <v>9.5</v>
      </c>
      <c r="I74" s="42">
        <v>400.0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33"/>
      <c r="B75" s="38"/>
      <c r="C75" s="37" t="s">
        <v>287</v>
      </c>
      <c r="D75" s="38"/>
      <c r="E75" s="37" t="s">
        <v>14</v>
      </c>
      <c r="F75" s="37" t="s">
        <v>15</v>
      </c>
      <c r="G75" s="37" t="s">
        <v>288</v>
      </c>
      <c r="H75" s="37">
        <v>5.0</v>
      </c>
      <c r="I75" s="39">
        <v>200.0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33"/>
      <c r="B76" s="37" t="s">
        <v>79</v>
      </c>
      <c r="C76" s="37" t="s">
        <v>290</v>
      </c>
      <c r="D76" s="37" t="s">
        <v>26</v>
      </c>
      <c r="E76" s="37" t="s">
        <v>14</v>
      </c>
      <c r="F76" s="37" t="s">
        <v>103</v>
      </c>
      <c r="G76" s="37" t="s">
        <v>292</v>
      </c>
      <c r="H76" s="37">
        <v>8.0</v>
      </c>
      <c r="I76" s="39">
        <v>200.0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33"/>
      <c r="B77" s="37">
        <v>100.0</v>
      </c>
      <c r="C77" s="37" t="s">
        <v>40</v>
      </c>
      <c r="D77" s="37" t="s">
        <v>14</v>
      </c>
      <c r="E77" s="37" t="s">
        <v>14</v>
      </c>
      <c r="F77" s="37" t="s">
        <v>41</v>
      </c>
      <c r="G77" s="37" t="s">
        <v>40</v>
      </c>
      <c r="H77" s="37">
        <v>2.0</v>
      </c>
      <c r="I77" s="39">
        <v>100.0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40"/>
      <c r="B78" s="87" t="s">
        <v>48</v>
      </c>
      <c r="C78" s="44"/>
      <c r="D78" s="44"/>
      <c r="E78" s="44"/>
      <c r="F78" s="44"/>
      <c r="G78" s="44"/>
      <c r="H78" s="88">
        <f t="shared" ref="H78:I78" si="8">SUM(H68:H77)</f>
        <v>65.5</v>
      </c>
      <c r="I78" s="89">
        <f t="shared" si="8"/>
        <v>2900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4" t="s">
        <v>300</v>
      </c>
      <c r="B79" s="41" t="s">
        <v>57</v>
      </c>
      <c r="C79" s="41" t="s">
        <v>306</v>
      </c>
      <c r="D79" s="41" t="s">
        <v>14</v>
      </c>
      <c r="E79" s="41" t="s">
        <v>73</v>
      </c>
      <c r="F79" s="41" t="s">
        <v>15</v>
      </c>
      <c r="G79" s="41" t="s">
        <v>76</v>
      </c>
      <c r="H79" s="41">
        <v>16.0</v>
      </c>
      <c r="I79" s="42">
        <v>800.0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33"/>
      <c r="C80" s="41" t="s">
        <v>307</v>
      </c>
      <c r="D80" s="41" t="s">
        <v>225</v>
      </c>
      <c r="E80" s="41" t="s">
        <v>308</v>
      </c>
      <c r="F80" s="41" t="s">
        <v>28</v>
      </c>
      <c r="G80" s="41" t="s">
        <v>69</v>
      </c>
      <c r="H80" s="41">
        <v>30.0</v>
      </c>
      <c r="I80" s="42">
        <v>1200.0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33"/>
      <c r="C81" s="41" t="s">
        <v>309</v>
      </c>
      <c r="D81" s="41" t="s">
        <v>26</v>
      </c>
      <c r="E81" s="41" t="s">
        <v>22</v>
      </c>
      <c r="F81" s="41" t="s">
        <v>15</v>
      </c>
      <c r="G81" s="41" t="s">
        <v>310</v>
      </c>
      <c r="H81" s="41">
        <v>9.0</v>
      </c>
      <c r="I81" s="42">
        <v>400.0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33"/>
      <c r="B82" s="38"/>
      <c r="C82" s="37" t="s">
        <v>277</v>
      </c>
      <c r="D82" s="37" t="s">
        <v>14</v>
      </c>
      <c r="E82" s="37" t="s">
        <v>308</v>
      </c>
      <c r="F82" s="37" t="s">
        <v>15</v>
      </c>
      <c r="G82" s="37" t="s">
        <v>40</v>
      </c>
      <c r="H82" s="37">
        <v>5.0</v>
      </c>
      <c r="I82" s="39">
        <v>200.0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40"/>
      <c r="B83" s="87" t="s">
        <v>48</v>
      </c>
      <c r="C83" s="44"/>
      <c r="D83" s="44"/>
      <c r="E83" s="44"/>
      <c r="F83" s="44"/>
      <c r="G83" s="44"/>
      <c r="H83" s="88">
        <f t="shared" ref="H83:I83" si="9">SUM(H79:H82)</f>
        <v>60</v>
      </c>
      <c r="I83" s="94">
        <f t="shared" si="9"/>
        <v>2600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4" t="s">
        <v>315</v>
      </c>
      <c r="B84" s="41" t="s">
        <v>169</v>
      </c>
      <c r="C84" s="41" t="s">
        <v>316</v>
      </c>
      <c r="D84" s="41" t="s">
        <v>317</v>
      </c>
      <c r="E84" s="41" t="s">
        <v>14</v>
      </c>
      <c r="F84" s="41" t="s">
        <v>15</v>
      </c>
      <c r="G84" s="41" t="s">
        <v>23</v>
      </c>
      <c r="H84" s="41">
        <v>30.0</v>
      </c>
      <c r="I84" s="42">
        <v>1500.0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33"/>
      <c r="B85" s="38"/>
      <c r="C85" s="37" t="s">
        <v>318</v>
      </c>
      <c r="D85" s="37" t="s">
        <v>14</v>
      </c>
      <c r="E85" s="37" t="s">
        <v>319</v>
      </c>
      <c r="F85" s="37" t="s">
        <v>15</v>
      </c>
      <c r="G85" s="37" t="s">
        <v>121</v>
      </c>
      <c r="H85" s="37">
        <v>15.0</v>
      </c>
      <c r="I85" s="39">
        <v>600.0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33"/>
      <c r="B86" s="41" t="s">
        <v>169</v>
      </c>
      <c r="C86" s="41" t="s">
        <v>321</v>
      </c>
      <c r="D86" s="41" t="s">
        <v>14</v>
      </c>
      <c r="E86" s="41" t="s">
        <v>37</v>
      </c>
      <c r="F86" s="41" t="s">
        <v>15</v>
      </c>
      <c r="G86" s="41" t="s">
        <v>145</v>
      </c>
      <c r="H86" s="41">
        <v>9.0</v>
      </c>
      <c r="I86" s="42">
        <v>300.0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33"/>
      <c r="C87" s="41" t="s">
        <v>323</v>
      </c>
      <c r="D87" s="41" t="s">
        <v>148</v>
      </c>
      <c r="E87" s="41" t="s">
        <v>22</v>
      </c>
      <c r="F87" s="41" t="s">
        <v>103</v>
      </c>
      <c r="G87" s="41" t="s">
        <v>292</v>
      </c>
      <c r="H87" s="41">
        <v>9.0</v>
      </c>
      <c r="I87" s="42">
        <v>300.0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33"/>
      <c r="B88" s="38"/>
      <c r="C88" s="37" t="s">
        <v>326</v>
      </c>
      <c r="D88" s="37" t="s">
        <v>14</v>
      </c>
      <c r="E88" s="37" t="s">
        <v>14</v>
      </c>
      <c r="F88" s="37" t="s">
        <v>15</v>
      </c>
      <c r="G88" s="37" t="s">
        <v>40</v>
      </c>
      <c r="H88" s="37">
        <v>6.0</v>
      </c>
      <c r="I88" s="39">
        <v>150.0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40"/>
      <c r="B89" s="67" t="s">
        <v>48</v>
      </c>
      <c r="C89" s="68"/>
      <c r="D89" s="68"/>
      <c r="E89" s="68"/>
      <c r="F89" s="68"/>
      <c r="G89" s="69"/>
      <c r="H89" s="55">
        <f>SUM(H84:H85)</f>
        <v>45</v>
      </c>
      <c r="I89" s="59">
        <f>SUM(I84:I88)</f>
        <v>2850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</sheetData>
  <mergeCells count="73">
    <mergeCell ref="A3:A10"/>
    <mergeCell ref="B3:B4"/>
    <mergeCell ref="B5:B8"/>
    <mergeCell ref="B30:B32"/>
    <mergeCell ref="B33:B35"/>
    <mergeCell ref="A11:A19"/>
    <mergeCell ref="B17:B18"/>
    <mergeCell ref="A20:A29"/>
    <mergeCell ref="B20:B22"/>
    <mergeCell ref="B23:B26"/>
    <mergeCell ref="B27:B28"/>
    <mergeCell ref="A30:A36"/>
    <mergeCell ref="A60:A67"/>
    <mergeCell ref="A68:A78"/>
    <mergeCell ref="B70:B75"/>
    <mergeCell ref="A79:A83"/>
    <mergeCell ref="B79:B82"/>
    <mergeCell ref="A84:A89"/>
    <mergeCell ref="B84:B85"/>
    <mergeCell ref="B86:B88"/>
    <mergeCell ref="A37:A46"/>
    <mergeCell ref="B38:B40"/>
    <mergeCell ref="B42:B44"/>
    <mergeCell ref="A50:A59"/>
    <mergeCell ref="B50:B51"/>
    <mergeCell ref="B53:B54"/>
    <mergeCell ref="B60:B64"/>
    <mergeCell ref="H5:H8"/>
    <mergeCell ref="B10:G10"/>
    <mergeCell ref="D17:D18"/>
    <mergeCell ref="G17:G18"/>
    <mergeCell ref="H17:H18"/>
    <mergeCell ref="B19:G19"/>
    <mergeCell ref="D20:D22"/>
    <mergeCell ref="D23:D26"/>
    <mergeCell ref="F23:F26"/>
    <mergeCell ref="G23:G26"/>
    <mergeCell ref="D27:D28"/>
    <mergeCell ref="B29:G29"/>
    <mergeCell ref="D30:D32"/>
    <mergeCell ref="B36:G36"/>
    <mergeCell ref="C38:C40"/>
    <mergeCell ref="D38:D40"/>
    <mergeCell ref="F38:F40"/>
    <mergeCell ref="G38:G40"/>
    <mergeCell ref="H38:H40"/>
    <mergeCell ref="I38:I40"/>
    <mergeCell ref="H42:H44"/>
    <mergeCell ref="F50:F51"/>
    <mergeCell ref="F53:F54"/>
    <mergeCell ref="G53:G54"/>
    <mergeCell ref="H53:H54"/>
    <mergeCell ref="D53:D54"/>
    <mergeCell ref="B59:G59"/>
    <mergeCell ref="B67:G67"/>
    <mergeCell ref="D70:D75"/>
    <mergeCell ref="B78:G78"/>
    <mergeCell ref="B83:G83"/>
    <mergeCell ref="B89:G89"/>
    <mergeCell ref="D42:D44"/>
    <mergeCell ref="B46:G46"/>
    <mergeCell ref="A48:I48"/>
    <mergeCell ref="D50:D51"/>
    <mergeCell ref="E50:E51"/>
    <mergeCell ref="H50:H51"/>
    <mergeCell ref="I53:I54"/>
    <mergeCell ref="A1:I1"/>
    <mergeCell ref="D3:D4"/>
    <mergeCell ref="E3:E4"/>
    <mergeCell ref="F3:F4"/>
    <mergeCell ref="H3:H4"/>
    <mergeCell ref="F42:F44"/>
    <mergeCell ref="G42:G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 t="s">
        <v>2</v>
      </c>
      <c r="B2" s="8" t="s">
        <v>3</v>
      </c>
      <c r="C2" s="10" t="s">
        <v>4</v>
      </c>
      <c r="D2" s="12" t="s">
        <v>5</v>
      </c>
      <c r="E2" s="14" t="s">
        <v>6</v>
      </c>
      <c r="F2" s="16" t="s">
        <v>7</v>
      </c>
      <c r="G2" s="18"/>
      <c r="H2" s="20" t="s">
        <v>8</v>
      </c>
      <c r="I2" s="22" t="s">
        <v>9</v>
      </c>
      <c r="J2" s="22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24" t="s">
        <v>11</v>
      </c>
      <c r="B3" s="25">
        <v>400.0</v>
      </c>
      <c r="C3" s="26" t="s">
        <v>13</v>
      </c>
      <c r="D3" s="25" t="s">
        <v>14</v>
      </c>
      <c r="E3" s="25" t="s">
        <v>14</v>
      </c>
      <c r="F3" s="25" t="s">
        <v>15</v>
      </c>
      <c r="G3" s="28"/>
      <c r="H3" s="29" t="s">
        <v>16</v>
      </c>
      <c r="I3" s="25">
        <v>9.0</v>
      </c>
      <c r="J3" s="30">
        <v>400.0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3"/>
      <c r="B4" s="25" t="s">
        <v>19</v>
      </c>
      <c r="C4" s="26" t="s">
        <v>20</v>
      </c>
      <c r="D4" s="25" t="s">
        <v>21</v>
      </c>
      <c r="E4" s="25" t="s">
        <v>22</v>
      </c>
      <c r="F4" s="25" t="s">
        <v>15</v>
      </c>
      <c r="G4" s="28"/>
      <c r="H4" s="29" t="s">
        <v>23</v>
      </c>
      <c r="I4" s="25">
        <v>7.0</v>
      </c>
      <c r="J4" s="30">
        <v>400.0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3"/>
      <c r="B5" s="25" t="s">
        <v>24</v>
      </c>
      <c r="C5" s="26" t="s">
        <v>25</v>
      </c>
      <c r="D5" s="25" t="s">
        <v>26</v>
      </c>
      <c r="E5" s="25" t="s">
        <v>27</v>
      </c>
      <c r="F5" s="25" t="s">
        <v>28</v>
      </c>
      <c r="G5" s="28"/>
      <c r="H5" s="29" t="s">
        <v>29</v>
      </c>
      <c r="I5" s="25">
        <v>13.0</v>
      </c>
      <c r="J5" s="30">
        <v>600.0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3"/>
      <c r="B6" s="25" t="s">
        <v>31</v>
      </c>
      <c r="C6" s="26" t="s">
        <v>20</v>
      </c>
      <c r="D6" s="25" t="s">
        <v>32</v>
      </c>
      <c r="E6" s="25" t="s">
        <v>22</v>
      </c>
      <c r="F6" s="25" t="s">
        <v>15</v>
      </c>
      <c r="G6" s="28"/>
      <c r="H6" s="29" t="s">
        <v>23</v>
      </c>
      <c r="I6" s="25">
        <v>15.0</v>
      </c>
      <c r="J6" s="30">
        <v>800.0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3"/>
      <c r="B7" s="25" t="s">
        <v>34</v>
      </c>
      <c r="C7" s="26" t="s">
        <v>35</v>
      </c>
      <c r="D7" s="25" t="s">
        <v>36</v>
      </c>
      <c r="E7" s="25" t="s">
        <v>37</v>
      </c>
      <c r="F7" s="25" t="s">
        <v>28</v>
      </c>
      <c r="G7" s="28"/>
      <c r="H7" s="29" t="s">
        <v>38</v>
      </c>
      <c r="I7" s="25">
        <v>10.0</v>
      </c>
      <c r="J7" s="30">
        <v>400.0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3"/>
      <c r="B8" s="25">
        <v>100.0</v>
      </c>
      <c r="C8" s="26" t="s">
        <v>40</v>
      </c>
      <c r="D8" s="25" t="s">
        <v>14</v>
      </c>
      <c r="E8" s="25" t="s">
        <v>14</v>
      </c>
      <c r="F8" s="25" t="s">
        <v>41</v>
      </c>
      <c r="G8" s="28"/>
      <c r="H8" s="29" t="s">
        <v>40</v>
      </c>
      <c r="I8" s="25">
        <v>2.0</v>
      </c>
      <c r="J8" s="30">
        <v>100.0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0"/>
      <c r="B9" s="43" t="s">
        <v>48</v>
      </c>
      <c r="C9" s="44"/>
      <c r="D9" s="44"/>
      <c r="E9" s="44"/>
      <c r="F9" s="44"/>
      <c r="G9" s="44"/>
      <c r="H9" s="45"/>
      <c r="I9" s="51">
        <f t="shared" ref="I9:J9" si="1">SUM(I3:I8)</f>
        <v>56</v>
      </c>
      <c r="J9" s="52">
        <f t="shared" si="1"/>
        <v>2700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4" t="s">
        <v>56</v>
      </c>
      <c r="B10" s="53" t="s">
        <v>57</v>
      </c>
      <c r="C10" s="54" t="s">
        <v>58</v>
      </c>
      <c r="D10" s="53" t="s">
        <v>59</v>
      </c>
      <c r="E10" s="53" t="s">
        <v>14</v>
      </c>
      <c r="F10" s="53" t="s">
        <v>15</v>
      </c>
      <c r="G10" s="56"/>
      <c r="H10" s="57" t="s">
        <v>60</v>
      </c>
      <c r="I10" s="53">
        <v>7.0</v>
      </c>
      <c r="J10" s="58">
        <v>400.0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3"/>
      <c r="B11" s="38"/>
      <c r="C11" s="26" t="s">
        <v>61</v>
      </c>
      <c r="D11" s="25" t="s">
        <v>59</v>
      </c>
      <c r="E11" s="25" t="s">
        <v>27</v>
      </c>
      <c r="F11" s="25" t="s">
        <v>15</v>
      </c>
      <c r="G11" s="28"/>
      <c r="H11" s="29" t="s">
        <v>62</v>
      </c>
      <c r="I11" s="25">
        <v>4.0</v>
      </c>
      <c r="J11" s="30">
        <v>200.0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3"/>
      <c r="B12" s="53">
        <v>200.0</v>
      </c>
      <c r="C12" s="54" t="s">
        <v>63</v>
      </c>
      <c r="D12" s="53" t="s">
        <v>59</v>
      </c>
      <c r="E12" s="53" t="s">
        <v>22</v>
      </c>
      <c r="F12" s="53" t="s">
        <v>15</v>
      </c>
      <c r="G12" s="56"/>
      <c r="H12" s="57" t="s">
        <v>64</v>
      </c>
      <c r="I12" s="53">
        <v>5.0</v>
      </c>
      <c r="J12" s="58">
        <v>200.0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3"/>
      <c r="B13" s="53" t="s">
        <v>66</v>
      </c>
      <c r="C13" s="54" t="s">
        <v>67</v>
      </c>
      <c r="D13" s="53" t="s">
        <v>68</v>
      </c>
      <c r="E13" s="53" t="s">
        <v>14</v>
      </c>
      <c r="F13" s="53" t="s">
        <v>28</v>
      </c>
      <c r="G13" s="56"/>
      <c r="H13" s="57" t="s">
        <v>69</v>
      </c>
      <c r="I13" s="53">
        <v>10.0</v>
      </c>
      <c r="J13" s="58">
        <v>300.0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3"/>
      <c r="B14" s="25">
        <v>100.0</v>
      </c>
      <c r="C14" s="26" t="s">
        <v>71</v>
      </c>
      <c r="D14" s="25" t="s">
        <v>72</v>
      </c>
      <c r="E14" s="25" t="s">
        <v>14</v>
      </c>
      <c r="F14" s="25" t="s">
        <v>74</v>
      </c>
      <c r="G14" s="28"/>
      <c r="H14" s="29" t="s">
        <v>75</v>
      </c>
      <c r="I14" s="25">
        <v>2.0</v>
      </c>
      <c r="J14" s="30">
        <v>100.0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3"/>
      <c r="B15" s="53">
        <v>150.0</v>
      </c>
      <c r="C15" s="54" t="s">
        <v>63</v>
      </c>
      <c r="D15" s="53" t="s">
        <v>59</v>
      </c>
      <c r="E15" s="53" t="s">
        <v>22</v>
      </c>
      <c r="F15" s="53" t="s">
        <v>15</v>
      </c>
      <c r="G15" s="56"/>
      <c r="H15" s="57" t="s">
        <v>64</v>
      </c>
      <c r="I15" s="53">
        <v>4.0</v>
      </c>
      <c r="J15" s="58">
        <v>150.0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33"/>
      <c r="B16" s="53" t="s">
        <v>79</v>
      </c>
      <c r="C16" s="54" t="s">
        <v>67</v>
      </c>
      <c r="D16" s="53" t="s">
        <v>68</v>
      </c>
      <c r="E16" s="53" t="s">
        <v>14</v>
      </c>
      <c r="F16" s="53" t="s">
        <v>28</v>
      </c>
      <c r="G16" s="56"/>
      <c r="H16" s="57" t="s">
        <v>69</v>
      </c>
      <c r="I16" s="53">
        <v>7.0</v>
      </c>
      <c r="J16" s="58">
        <v>200.0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3"/>
      <c r="B17" s="25" t="s">
        <v>80</v>
      </c>
      <c r="C17" s="26" t="s">
        <v>71</v>
      </c>
      <c r="D17" s="25" t="s">
        <v>82</v>
      </c>
      <c r="E17" s="25" t="s">
        <v>14</v>
      </c>
      <c r="F17" s="25" t="s">
        <v>74</v>
      </c>
      <c r="G17" s="28"/>
      <c r="H17" s="29" t="s">
        <v>75</v>
      </c>
      <c r="I17" s="25">
        <v>4.0</v>
      </c>
      <c r="J17" s="30">
        <v>200.0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33"/>
      <c r="B18" s="53">
        <v>100.0</v>
      </c>
      <c r="C18" s="54" t="s">
        <v>63</v>
      </c>
      <c r="D18" s="53" t="s">
        <v>59</v>
      </c>
      <c r="E18" s="53" t="s">
        <v>22</v>
      </c>
      <c r="F18" s="53" t="s">
        <v>15</v>
      </c>
      <c r="G18" s="56"/>
      <c r="H18" s="57" t="s">
        <v>64</v>
      </c>
      <c r="I18" s="53">
        <v>2.5</v>
      </c>
      <c r="J18" s="58">
        <v>100.0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33"/>
      <c r="B19" s="53" t="s">
        <v>84</v>
      </c>
      <c r="C19" s="54" t="s">
        <v>67</v>
      </c>
      <c r="D19" s="53" t="s">
        <v>68</v>
      </c>
      <c r="E19" s="53" t="s">
        <v>14</v>
      </c>
      <c r="F19" s="53" t="s">
        <v>28</v>
      </c>
      <c r="G19" s="56"/>
      <c r="H19" s="57" t="s">
        <v>69</v>
      </c>
      <c r="I19" s="53">
        <v>3.0</v>
      </c>
      <c r="J19" s="58">
        <v>100.0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33"/>
      <c r="B20" s="25" t="s">
        <v>87</v>
      </c>
      <c r="C20" s="26" t="s">
        <v>71</v>
      </c>
      <c r="D20" s="25" t="s">
        <v>36</v>
      </c>
      <c r="E20" s="25" t="s">
        <v>14</v>
      </c>
      <c r="F20" s="25" t="s">
        <v>74</v>
      </c>
      <c r="G20" s="28"/>
      <c r="H20" s="29" t="s">
        <v>75</v>
      </c>
      <c r="I20" s="25">
        <v>8.0</v>
      </c>
      <c r="J20" s="30">
        <v>300.0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33"/>
      <c r="B21" s="25">
        <v>100.0</v>
      </c>
      <c r="C21" s="26" t="s">
        <v>90</v>
      </c>
      <c r="D21" s="25" t="s">
        <v>14</v>
      </c>
      <c r="E21" s="25" t="s">
        <v>14</v>
      </c>
      <c r="F21" s="25" t="s">
        <v>41</v>
      </c>
      <c r="G21" s="28"/>
      <c r="H21" s="29" t="s">
        <v>40</v>
      </c>
      <c r="I21" s="25">
        <v>2.0</v>
      </c>
      <c r="J21" s="30">
        <v>100.0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40"/>
      <c r="B22" s="43" t="s">
        <v>48</v>
      </c>
      <c r="C22" s="44"/>
      <c r="D22" s="44"/>
      <c r="E22" s="44"/>
      <c r="F22" s="44"/>
      <c r="G22" s="44"/>
      <c r="H22" s="45"/>
      <c r="I22" s="51">
        <f t="shared" ref="I22:J22" si="2">SUM(I10:I21)</f>
        <v>58.5</v>
      </c>
      <c r="J22" s="52">
        <f t="shared" si="2"/>
        <v>2350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4" t="s">
        <v>93</v>
      </c>
      <c r="B23" s="53" t="s">
        <v>95</v>
      </c>
      <c r="C23" s="54" t="s">
        <v>96</v>
      </c>
      <c r="D23" s="53" t="s">
        <v>72</v>
      </c>
      <c r="E23" s="53" t="s">
        <v>22</v>
      </c>
      <c r="F23" s="53" t="s">
        <v>15</v>
      </c>
      <c r="G23" s="56"/>
      <c r="H23" s="57" t="s">
        <v>60</v>
      </c>
      <c r="I23" s="53">
        <v>10.0</v>
      </c>
      <c r="J23" s="58">
        <v>600.0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33"/>
      <c r="C24" s="54" t="s">
        <v>97</v>
      </c>
      <c r="E24" s="53" t="s">
        <v>73</v>
      </c>
      <c r="F24" s="53" t="s">
        <v>15</v>
      </c>
      <c r="G24" s="56"/>
      <c r="H24" s="57" t="s">
        <v>98</v>
      </c>
      <c r="I24" s="53">
        <v>12.0</v>
      </c>
      <c r="J24" s="58">
        <v>600.0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33"/>
      <c r="B25" s="38"/>
      <c r="C25" s="26" t="s">
        <v>99</v>
      </c>
      <c r="D25" s="38"/>
      <c r="E25" s="25" t="s">
        <v>14</v>
      </c>
      <c r="F25" s="25" t="s">
        <v>100</v>
      </c>
      <c r="G25" s="28"/>
      <c r="H25" s="29" t="s">
        <v>101</v>
      </c>
      <c r="I25" s="25">
        <v>5.5</v>
      </c>
      <c r="J25" s="30">
        <v>300.0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33"/>
      <c r="B26" s="53">
        <v>100.0</v>
      </c>
      <c r="C26" s="54" t="s">
        <v>102</v>
      </c>
      <c r="D26" s="53" t="s">
        <v>14</v>
      </c>
      <c r="E26" s="53" t="s">
        <v>14</v>
      </c>
      <c r="F26" s="53" t="s">
        <v>103</v>
      </c>
      <c r="G26" s="56"/>
      <c r="H26" s="57" t="s">
        <v>104</v>
      </c>
      <c r="I26" s="53">
        <v>3.0</v>
      </c>
      <c r="J26" s="58">
        <v>100.0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33"/>
      <c r="B27" s="53" t="s">
        <v>105</v>
      </c>
      <c r="C27" s="54" t="s">
        <v>106</v>
      </c>
      <c r="D27" s="53" t="s">
        <v>14</v>
      </c>
      <c r="E27" s="53" t="s">
        <v>14</v>
      </c>
      <c r="F27" s="53" t="s">
        <v>103</v>
      </c>
      <c r="G27" s="56"/>
      <c r="H27" s="57" t="s">
        <v>107</v>
      </c>
      <c r="I27" s="53">
        <v>3.0</v>
      </c>
      <c r="J27" s="58">
        <v>100.0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33"/>
      <c r="B28" s="53">
        <v>150.0</v>
      </c>
      <c r="C28" s="54" t="s">
        <v>108</v>
      </c>
      <c r="D28" s="53" t="s">
        <v>14</v>
      </c>
      <c r="E28" s="53" t="s">
        <v>14</v>
      </c>
      <c r="F28" s="53" t="s">
        <v>103</v>
      </c>
      <c r="G28" s="56"/>
      <c r="H28" s="57" t="s">
        <v>104</v>
      </c>
      <c r="I28" s="53">
        <v>4.0</v>
      </c>
      <c r="J28" s="58">
        <v>150.0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33"/>
      <c r="B29" s="53" t="s">
        <v>110</v>
      </c>
      <c r="C29" s="54" t="s">
        <v>111</v>
      </c>
      <c r="D29" s="53" t="s">
        <v>14</v>
      </c>
      <c r="E29" s="53" t="s">
        <v>14</v>
      </c>
      <c r="F29" s="53" t="s">
        <v>103</v>
      </c>
      <c r="G29" s="56"/>
      <c r="H29" s="57" t="s">
        <v>107</v>
      </c>
      <c r="I29" s="53">
        <v>7.0</v>
      </c>
      <c r="J29" s="58">
        <v>150.0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33"/>
      <c r="B30" s="53">
        <v>200.0</v>
      </c>
      <c r="C30" s="54" t="s">
        <v>113</v>
      </c>
      <c r="D30" s="53" t="s">
        <v>14</v>
      </c>
      <c r="E30" s="53" t="s">
        <v>14</v>
      </c>
      <c r="F30" s="53" t="s">
        <v>103</v>
      </c>
      <c r="G30" s="56"/>
      <c r="H30" s="57" t="s">
        <v>114</v>
      </c>
      <c r="I30" s="53">
        <v>5.0</v>
      </c>
      <c r="J30" s="58">
        <v>200.0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33"/>
      <c r="B31" s="53" t="s">
        <v>117</v>
      </c>
      <c r="C31" s="54" t="s">
        <v>118</v>
      </c>
      <c r="D31" s="53" t="s">
        <v>14</v>
      </c>
      <c r="E31" s="53" t="s">
        <v>14</v>
      </c>
      <c r="F31" s="53" t="s">
        <v>119</v>
      </c>
      <c r="G31" s="56"/>
      <c r="H31" s="57" t="s">
        <v>120</v>
      </c>
      <c r="I31" s="53">
        <v>12.0</v>
      </c>
      <c r="J31" s="58">
        <v>200.0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33"/>
      <c r="B32" s="25">
        <v>100.0</v>
      </c>
      <c r="C32" s="26" t="s">
        <v>40</v>
      </c>
      <c r="D32" s="25" t="s">
        <v>14</v>
      </c>
      <c r="E32" s="25" t="s">
        <v>14</v>
      </c>
      <c r="F32" s="25" t="s">
        <v>41</v>
      </c>
      <c r="G32" s="28"/>
      <c r="H32" s="29" t="s">
        <v>40</v>
      </c>
      <c r="I32" s="25">
        <v>2.0</v>
      </c>
      <c r="J32" s="30">
        <v>100.0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40"/>
      <c r="B33" s="43" t="s">
        <v>48</v>
      </c>
      <c r="C33" s="44"/>
      <c r="D33" s="44"/>
      <c r="E33" s="44"/>
      <c r="F33" s="44"/>
      <c r="G33" s="44"/>
      <c r="H33" s="45"/>
      <c r="I33" s="51">
        <f t="shared" ref="I33:J33" si="3">SUM(I23:I32)</f>
        <v>63.5</v>
      </c>
      <c r="J33" s="52">
        <f t="shared" si="3"/>
        <v>2500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4" t="s">
        <v>126</v>
      </c>
      <c r="B34" s="53">
        <v>200.0</v>
      </c>
      <c r="C34" s="54" t="s">
        <v>127</v>
      </c>
      <c r="D34" s="53" t="s">
        <v>14</v>
      </c>
      <c r="E34" s="53" t="s">
        <v>54</v>
      </c>
      <c r="F34" s="53" t="s">
        <v>15</v>
      </c>
      <c r="G34" s="56"/>
      <c r="H34" s="57" t="s">
        <v>76</v>
      </c>
      <c r="I34" s="53">
        <v>5.0</v>
      </c>
      <c r="J34" s="58">
        <v>200.0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33"/>
      <c r="B35" s="25" t="s">
        <v>19</v>
      </c>
      <c r="C35" s="26" t="s">
        <v>131</v>
      </c>
      <c r="D35" s="25" t="s">
        <v>83</v>
      </c>
      <c r="E35" s="25" t="s">
        <v>14</v>
      </c>
      <c r="F35" s="25" t="s">
        <v>15</v>
      </c>
      <c r="G35" s="28"/>
      <c r="H35" s="29" t="s">
        <v>133</v>
      </c>
      <c r="I35" s="25">
        <v>8.0</v>
      </c>
      <c r="J35" s="30">
        <v>400.0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33"/>
      <c r="B36" s="53">
        <v>200.0</v>
      </c>
      <c r="C36" s="54" t="s">
        <v>67</v>
      </c>
      <c r="D36" s="53" t="s">
        <v>14</v>
      </c>
      <c r="E36" s="53" t="s">
        <v>22</v>
      </c>
      <c r="F36" s="53" t="s">
        <v>15</v>
      </c>
      <c r="G36" s="56"/>
      <c r="H36" s="57" t="s">
        <v>134</v>
      </c>
      <c r="I36" s="53">
        <v>4.0</v>
      </c>
      <c r="J36" s="58">
        <v>200.0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33"/>
      <c r="B37" s="25" t="s">
        <v>19</v>
      </c>
      <c r="C37" s="26" t="s">
        <v>135</v>
      </c>
      <c r="D37" s="25" t="s">
        <v>83</v>
      </c>
      <c r="E37" s="25" t="s">
        <v>14</v>
      </c>
      <c r="F37" s="25" t="s">
        <v>100</v>
      </c>
      <c r="G37" s="28"/>
      <c r="H37" s="29" t="s">
        <v>23</v>
      </c>
      <c r="I37" s="25">
        <v>8.0</v>
      </c>
      <c r="J37" s="30">
        <v>400.0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33"/>
      <c r="B38" s="53">
        <v>200.0</v>
      </c>
      <c r="C38" s="54" t="s">
        <v>136</v>
      </c>
      <c r="D38" s="53" t="s">
        <v>14</v>
      </c>
      <c r="E38" s="53" t="s">
        <v>22</v>
      </c>
      <c r="F38" s="53" t="s">
        <v>15</v>
      </c>
      <c r="G38" s="56"/>
      <c r="H38" s="57" t="s">
        <v>137</v>
      </c>
      <c r="I38" s="53">
        <v>5.0</v>
      </c>
      <c r="J38" s="58">
        <v>200.0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33"/>
      <c r="B39" s="25" t="s">
        <v>19</v>
      </c>
      <c r="C39" s="26" t="s">
        <v>139</v>
      </c>
      <c r="D39" s="25" t="s">
        <v>83</v>
      </c>
      <c r="E39" s="25" t="s">
        <v>14</v>
      </c>
      <c r="F39" s="25" t="s">
        <v>28</v>
      </c>
      <c r="G39" s="28"/>
      <c r="H39" s="29" t="s">
        <v>140</v>
      </c>
      <c r="I39" s="25">
        <v>8.0</v>
      </c>
      <c r="J39" s="30">
        <v>400.0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3"/>
      <c r="B40" s="53">
        <v>200.0</v>
      </c>
      <c r="C40" s="54" t="s">
        <v>142</v>
      </c>
      <c r="D40" s="53" t="s">
        <v>14</v>
      </c>
      <c r="E40" s="53" t="s">
        <v>14</v>
      </c>
      <c r="F40" s="53" t="s">
        <v>15</v>
      </c>
      <c r="G40" s="56"/>
      <c r="H40" s="57" t="s">
        <v>145</v>
      </c>
      <c r="I40" s="53">
        <v>5.0</v>
      </c>
      <c r="J40" s="58">
        <v>200.0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33"/>
      <c r="B41" s="25" t="s">
        <v>19</v>
      </c>
      <c r="C41" s="26" t="s">
        <v>147</v>
      </c>
      <c r="D41" s="25" t="s">
        <v>148</v>
      </c>
      <c r="E41" s="25" t="s">
        <v>14</v>
      </c>
      <c r="F41" s="25" t="s">
        <v>149</v>
      </c>
      <c r="G41" s="28"/>
      <c r="H41" s="29" t="s">
        <v>150</v>
      </c>
      <c r="I41" s="25">
        <v>10.0</v>
      </c>
      <c r="J41" s="30">
        <v>400.0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33"/>
      <c r="B42" s="25">
        <v>100.0</v>
      </c>
      <c r="C42" s="26" t="s">
        <v>90</v>
      </c>
      <c r="D42" s="25" t="s">
        <v>14</v>
      </c>
      <c r="E42" s="25" t="s">
        <v>14</v>
      </c>
      <c r="F42" s="25" t="s">
        <v>41</v>
      </c>
      <c r="G42" s="28"/>
      <c r="H42" s="29" t="s">
        <v>40</v>
      </c>
      <c r="I42" s="25">
        <v>2.0</v>
      </c>
      <c r="J42" s="30">
        <v>100.0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40"/>
      <c r="B43" s="43" t="s">
        <v>48</v>
      </c>
      <c r="C43" s="44"/>
      <c r="D43" s="44"/>
      <c r="E43" s="44"/>
      <c r="F43" s="44"/>
      <c r="G43" s="44"/>
      <c r="H43" s="45"/>
      <c r="I43" s="51">
        <f t="shared" ref="I43:J43" si="4">SUM(I34:I42)</f>
        <v>55</v>
      </c>
      <c r="J43" s="52">
        <f t="shared" si="4"/>
        <v>2500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4" t="s">
        <v>153</v>
      </c>
      <c r="B44" s="25">
        <v>400.0</v>
      </c>
      <c r="C44" s="26" t="s">
        <v>154</v>
      </c>
      <c r="D44" s="25" t="s">
        <v>14</v>
      </c>
      <c r="E44" s="25" t="s">
        <v>14</v>
      </c>
      <c r="F44" s="25" t="s">
        <v>15</v>
      </c>
      <c r="G44" s="28"/>
      <c r="H44" s="29" t="s">
        <v>18</v>
      </c>
      <c r="I44" s="25">
        <v>9.0</v>
      </c>
      <c r="J44" s="30">
        <v>400.0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33"/>
      <c r="B45" s="53" t="s">
        <v>57</v>
      </c>
      <c r="C45" s="54" t="s">
        <v>155</v>
      </c>
      <c r="D45" s="53" t="s">
        <v>72</v>
      </c>
      <c r="E45" s="53" t="s">
        <v>37</v>
      </c>
      <c r="F45" s="53" t="s">
        <v>28</v>
      </c>
      <c r="G45" s="56"/>
      <c r="H45" s="57" t="s">
        <v>23</v>
      </c>
      <c r="I45" s="53">
        <v>17.0</v>
      </c>
      <c r="J45" s="58">
        <v>800.0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33"/>
      <c r="C46" s="54" t="s">
        <v>157</v>
      </c>
      <c r="D46" s="53" t="s">
        <v>59</v>
      </c>
      <c r="E46" s="53" t="s">
        <v>14</v>
      </c>
      <c r="F46" s="53" t="s">
        <v>15</v>
      </c>
      <c r="G46" s="56"/>
      <c r="H46" s="57" t="s">
        <v>158</v>
      </c>
      <c r="I46" s="53">
        <v>12.0</v>
      </c>
      <c r="J46" s="58">
        <v>400.0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33"/>
      <c r="B47" s="38"/>
      <c r="C47" s="26" t="s">
        <v>161</v>
      </c>
      <c r="D47" s="25" t="s">
        <v>162</v>
      </c>
      <c r="E47" s="25" t="s">
        <v>14</v>
      </c>
      <c r="F47" s="25" t="s">
        <v>103</v>
      </c>
      <c r="G47" s="28"/>
      <c r="H47" s="29" t="s">
        <v>163</v>
      </c>
      <c r="I47" s="25">
        <v>24.0</v>
      </c>
      <c r="J47" s="30">
        <v>600.0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33"/>
      <c r="B48" s="25">
        <v>600.0</v>
      </c>
      <c r="C48" s="26" t="s">
        <v>164</v>
      </c>
      <c r="D48" s="25" t="s">
        <v>14</v>
      </c>
      <c r="E48" s="25" t="s">
        <v>22</v>
      </c>
      <c r="F48" s="25" t="s">
        <v>28</v>
      </c>
      <c r="G48" s="28"/>
      <c r="H48" s="29" t="s">
        <v>165</v>
      </c>
      <c r="I48" s="25">
        <v>12.0</v>
      </c>
      <c r="J48" s="30">
        <v>600.0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40"/>
      <c r="B49" s="43" t="s">
        <v>48</v>
      </c>
      <c r="C49" s="44"/>
      <c r="D49" s="44"/>
      <c r="E49" s="44"/>
      <c r="F49" s="44"/>
      <c r="G49" s="44"/>
      <c r="H49" s="45"/>
      <c r="I49" s="51">
        <f t="shared" ref="I49:J49" si="5">SUM(I44:I48)</f>
        <v>74</v>
      </c>
      <c r="J49" s="52">
        <f t="shared" si="5"/>
        <v>2800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6"/>
      <c r="B50" s="56"/>
      <c r="C50" s="56"/>
      <c r="D50" s="56"/>
      <c r="E50" s="56"/>
      <c r="F50" s="56"/>
      <c r="G50" s="56"/>
      <c r="H50" s="56"/>
      <c r="I50" s="56"/>
      <c r="J50" s="56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" t="s">
        <v>171</v>
      </c>
      <c r="B51" s="3"/>
      <c r="C51" s="3"/>
      <c r="D51" s="3"/>
      <c r="E51" s="3"/>
      <c r="F51" s="3"/>
      <c r="G51" s="3"/>
      <c r="H51" s="3"/>
      <c r="I51" s="3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7" t="s">
        <v>2</v>
      </c>
      <c r="B52" s="8" t="s">
        <v>3</v>
      </c>
      <c r="C52" s="10" t="s">
        <v>4</v>
      </c>
      <c r="D52" s="12" t="s">
        <v>5</v>
      </c>
      <c r="E52" s="14" t="s">
        <v>6</v>
      </c>
      <c r="F52" s="16" t="s">
        <v>7</v>
      </c>
      <c r="G52" s="18"/>
      <c r="H52" s="20" t="s">
        <v>8</v>
      </c>
      <c r="I52" s="22" t="s">
        <v>9</v>
      </c>
      <c r="J52" s="22" t="s">
        <v>10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24" t="s">
        <v>175</v>
      </c>
      <c r="B53" s="53">
        <v>400.0</v>
      </c>
      <c r="C53" s="54" t="s">
        <v>176</v>
      </c>
      <c r="D53" s="53" t="s">
        <v>59</v>
      </c>
      <c r="E53" s="53" t="s">
        <v>27</v>
      </c>
      <c r="F53" s="53" t="s">
        <v>15</v>
      </c>
      <c r="G53" s="56"/>
      <c r="H53" s="57" t="s">
        <v>18</v>
      </c>
      <c r="I53" s="53">
        <v>9.0</v>
      </c>
      <c r="J53" s="58">
        <v>400.0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33"/>
      <c r="B54" s="53">
        <v>300.0</v>
      </c>
      <c r="C54" s="54" t="s">
        <v>177</v>
      </c>
      <c r="E54" s="53" t="s">
        <v>14</v>
      </c>
      <c r="F54" s="53" t="s">
        <v>15</v>
      </c>
      <c r="G54" s="56"/>
      <c r="H54" s="57" t="s">
        <v>101</v>
      </c>
      <c r="I54" s="53">
        <v>7.0</v>
      </c>
      <c r="J54" s="58">
        <v>300.0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33"/>
      <c r="B55" s="53">
        <v>200.0</v>
      </c>
      <c r="C55" s="54" t="s">
        <v>180</v>
      </c>
      <c r="E55" s="53" t="s">
        <v>22</v>
      </c>
      <c r="F55" s="53" t="s">
        <v>15</v>
      </c>
      <c r="G55" s="56"/>
      <c r="H55" s="57" t="s">
        <v>182</v>
      </c>
      <c r="I55" s="53">
        <v>5.0</v>
      </c>
      <c r="J55" s="58">
        <v>200.0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33"/>
      <c r="B56" s="25">
        <v>100.0</v>
      </c>
      <c r="C56" s="26" t="s">
        <v>183</v>
      </c>
      <c r="D56" s="38"/>
      <c r="E56" s="25" t="s">
        <v>14</v>
      </c>
      <c r="F56" s="25" t="s">
        <v>15</v>
      </c>
      <c r="G56" s="28"/>
      <c r="H56" s="29" t="s">
        <v>101</v>
      </c>
      <c r="I56" s="25">
        <v>2.0</v>
      </c>
      <c r="J56" s="30">
        <v>100.0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33"/>
      <c r="B57" s="53" t="s">
        <v>57</v>
      </c>
      <c r="C57" s="54" t="s">
        <v>185</v>
      </c>
      <c r="D57" s="53" t="s">
        <v>187</v>
      </c>
      <c r="E57" s="53" t="s">
        <v>14</v>
      </c>
      <c r="F57" s="53" t="s">
        <v>28</v>
      </c>
      <c r="G57" s="56"/>
      <c r="H57" s="57" t="s">
        <v>188</v>
      </c>
      <c r="I57" s="53">
        <v>18.0</v>
      </c>
      <c r="J57" s="58">
        <v>1000.0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33"/>
      <c r="C58" s="54" t="s">
        <v>189</v>
      </c>
      <c r="D58" s="53" t="s">
        <v>190</v>
      </c>
      <c r="E58" s="53" t="s">
        <v>14</v>
      </c>
      <c r="F58" s="53" t="s">
        <v>103</v>
      </c>
      <c r="G58" s="56"/>
      <c r="H58" s="57" t="s">
        <v>191</v>
      </c>
      <c r="I58" s="53">
        <v>14.0</v>
      </c>
      <c r="J58" s="58">
        <v>400.0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33"/>
      <c r="B59" s="38"/>
      <c r="C59" s="26" t="s">
        <v>192</v>
      </c>
      <c r="D59" s="25" t="s">
        <v>14</v>
      </c>
      <c r="E59" s="25" t="s">
        <v>14</v>
      </c>
      <c r="F59" s="25" t="s">
        <v>41</v>
      </c>
      <c r="G59" s="28"/>
      <c r="H59" s="29" t="s">
        <v>194</v>
      </c>
      <c r="I59" s="25">
        <v>4.0</v>
      </c>
      <c r="J59" s="30">
        <v>200.0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40"/>
      <c r="B60" s="78" t="s">
        <v>48</v>
      </c>
      <c r="C60" s="44"/>
      <c r="D60" s="44"/>
      <c r="E60" s="44"/>
      <c r="F60" s="44"/>
      <c r="G60" s="44"/>
      <c r="H60" s="45"/>
      <c r="I60" s="79">
        <f t="shared" ref="I60:J60" si="6">SUM(I53:I59)</f>
        <v>59</v>
      </c>
      <c r="J60" s="80">
        <f t="shared" si="6"/>
        <v>2600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4" t="s">
        <v>200</v>
      </c>
      <c r="B61" s="53" t="s">
        <v>202</v>
      </c>
      <c r="C61" s="54" t="s">
        <v>203</v>
      </c>
      <c r="D61" s="53" t="s">
        <v>59</v>
      </c>
      <c r="E61" s="53" t="s">
        <v>14</v>
      </c>
      <c r="F61" s="53" t="s">
        <v>15</v>
      </c>
      <c r="G61" s="56"/>
      <c r="H61" s="57" t="s">
        <v>60</v>
      </c>
      <c r="I61" s="53">
        <v>10.0</v>
      </c>
      <c r="J61" s="58">
        <v>500.0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33"/>
      <c r="C62" s="54" t="s">
        <v>207</v>
      </c>
      <c r="E62" s="53" t="s">
        <v>22</v>
      </c>
      <c r="G62" s="56"/>
      <c r="H62" s="57" t="s">
        <v>208</v>
      </c>
      <c r="I62" s="53">
        <v>8.0</v>
      </c>
      <c r="J62" s="58">
        <v>400.0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33"/>
      <c r="C63" s="54" t="s">
        <v>49</v>
      </c>
      <c r="E63" s="53" t="s">
        <v>14</v>
      </c>
      <c r="G63" s="56"/>
      <c r="H63" s="57" t="s">
        <v>123</v>
      </c>
      <c r="I63" s="53">
        <v>6.0</v>
      </c>
      <c r="J63" s="58">
        <v>300.0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33"/>
      <c r="C64" s="54" t="s">
        <v>209</v>
      </c>
      <c r="E64" s="53" t="s">
        <v>22</v>
      </c>
      <c r="G64" s="56"/>
      <c r="H64" s="57" t="s">
        <v>101</v>
      </c>
      <c r="I64" s="53">
        <v>4.0</v>
      </c>
      <c r="J64" s="58">
        <v>200.0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33"/>
      <c r="B65" s="38"/>
      <c r="C65" s="26" t="s">
        <v>210</v>
      </c>
      <c r="D65" s="38"/>
      <c r="E65" s="25" t="s">
        <v>14</v>
      </c>
      <c r="F65" s="38"/>
      <c r="G65" s="28"/>
      <c r="H65" s="29" t="s">
        <v>40</v>
      </c>
      <c r="I65" s="25">
        <v>2.0</v>
      </c>
      <c r="J65" s="30">
        <v>100.0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33"/>
      <c r="B66" s="81" t="s">
        <v>169</v>
      </c>
      <c r="C66" s="82" t="s">
        <v>212</v>
      </c>
      <c r="D66" s="81" t="s">
        <v>59</v>
      </c>
      <c r="E66" s="81" t="s">
        <v>213</v>
      </c>
      <c r="F66" s="81" t="s">
        <v>15</v>
      </c>
      <c r="G66" s="83"/>
      <c r="H66" s="84" t="s">
        <v>145</v>
      </c>
      <c r="I66" s="81">
        <v>1.5</v>
      </c>
      <c r="J66" s="85">
        <v>75.0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33"/>
      <c r="C67" s="54" t="s">
        <v>214</v>
      </c>
      <c r="F67" s="53" t="s">
        <v>28</v>
      </c>
      <c r="G67" s="56"/>
      <c r="I67" s="53">
        <v>4.0</v>
      </c>
      <c r="J67" s="58">
        <v>150.0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33"/>
      <c r="B68" s="38"/>
      <c r="C68" s="26" t="s">
        <v>216</v>
      </c>
      <c r="D68" s="38"/>
      <c r="E68" s="38"/>
      <c r="F68" s="25" t="s">
        <v>74</v>
      </c>
      <c r="G68" s="28"/>
      <c r="H68" s="38"/>
      <c r="I68" s="25">
        <v>8.0</v>
      </c>
      <c r="J68" s="30">
        <v>225.0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33"/>
      <c r="B69" s="53" t="s">
        <v>218</v>
      </c>
      <c r="C69" s="54" t="s">
        <v>219</v>
      </c>
      <c r="D69" s="53" t="s">
        <v>59</v>
      </c>
      <c r="E69" s="53" t="s">
        <v>14</v>
      </c>
      <c r="F69" s="53" t="s">
        <v>119</v>
      </c>
      <c r="G69" s="56"/>
      <c r="H69" s="57" t="s">
        <v>221</v>
      </c>
      <c r="I69" s="53">
        <v>8.0</v>
      </c>
      <c r="J69" s="58">
        <v>450.0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33"/>
      <c r="B70" s="38"/>
      <c r="C70" s="26" t="s">
        <v>223</v>
      </c>
      <c r="D70" s="38"/>
      <c r="E70" s="25" t="s">
        <v>14</v>
      </c>
      <c r="F70" s="25" t="s">
        <v>41</v>
      </c>
      <c r="G70" s="28"/>
      <c r="H70" s="29" t="s">
        <v>40</v>
      </c>
      <c r="I70" s="25">
        <v>10.0</v>
      </c>
      <c r="J70" s="30">
        <v>300.0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40"/>
      <c r="B71" s="43" t="s">
        <v>48</v>
      </c>
      <c r="C71" s="44"/>
      <c r="D71" s="44"/>
      <c r="E71" s="44"/>
      <c r="F71" s="44"/>
      <c r="G71" s="44"/>
      <c r="H71" s="45"/>
      <c r="I71" s="51">
        <f t="shared" ref="I71:J71" si="7">SUM(I61:I70)</f>
        <v>61.5</v>
      </c>
      <c r="J71" s="52">
        <f t="shared" si="7"/>
        <v>2700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24" t="s">
        <v>229</v>
      </c>
      <c r="B72" s="25">
        <v>800.0</v>
      </c>
      <c r="C72" s="26" t="s">
        <v>231</v>
      </c>
      <c r="D72" s="25" t="s">
        <v>14</v>
      </c>
      <c r="E72" s="25" t="s">
        <v>27</v>
      </c>
      <c r="F72" s="25" t="s">
        <v>15</v>
      </c>
      <c r="G72" s="28"/>
      <c r="H72" s="29" t="s">
        <v>232</v>
      </c>
      <c r="I72" s="25">
        <v>15.0</v>
      </c>
      <c r="J72" s="30">
        <v>800.0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33"/>
      <c r="B73" s="53" t="s">
        <v>234</v>
      </c>
      <c r="C73" s="54" t="s">
        <v>235</v>
      </c>
      <c r="D73" s="53" t="s">
        <v>236</v>
      </c>
      <c r="E73" s="53" t="s">
        <v>14</v>
      </c>
      <c r="F73" s="53" t="s">
        <v>74</v>
      </c>
      <c r="G73" s="56"/>
      <c r="H73" s="57" t="s">
        <v>237</v>
      </c>
      <c r="I73" s="53">
        <v>20.0</v>
      </c>
      <c r="J73" s="58">
        <v>800.0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33"/>
      <c r="B74" s="38"/>
      <c r="C74" s="26" t="s">
        <v>240</v>
      </c>
      <c r="D74" s="25" t="s">
        <v>14</v>
      </c>
      <c r="E74" s="25" t="s">
        <v>241</v>
      </c>
      <c r="F74" s="25" t="s">
        <v>15</v>
      </c>
      <c r="G74" s="28"/>
      <c r="H74" s="29" t="s">
        <v>242</v>
      </c>
      <c r="I74" s="25">
        <v>25.0</v>
      </c>
      <c r="J74" s="30">
        <v>1200.0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40"/>
      <c r="B75" s="43" t="s">
        <v>48</v>
      </c>
      <c r="C75" s="44"/>
      <c r="D75" s="44"/>
      <c r="E75" s="44"/>
      <c r="F75" s="44"/>
      <c r="G75" s="44"/>
      <c r="H75" s="45"/>
      <c r="I75" s="51">
        <f t="shared" ref="I75:J75" si="8">SUM(I72:I74)</f>
        <v>60</v>
      </c>
      <c r="J75" s="52">
        <f t="shared" si="8"/>
        <v>2800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4" t="s">
        <v>246</v>
      </c>
      <c r="B76" s="25">
        <v>700.0</v>
      </c>
      <c r="C76" s="26" t="s">
        <v>247</v>
      </c>
      <c r="D76" s="25" t="s">
        <v>14</v>
      </c>
      <c r="E76" s="25" t="s">
        <v>22</v>
      </c>
      <c r="F76" s="25" t="s">
        <v>15</v>
      </c>
      <c r="G76" s="28"/>
      <c r="H76" s="29" t="s">
        <v>18</v>
      </c>
      <c r="I76" s="25">
        <v>12.0</v>
      </c>
      <c r="J76" s="30">
        <v>700.0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33"/>
      <c r="B77" s="53" t="s">
        <v>169</v>
      </c>
      <c r="C77" s="54" t="s">
        <v>248</v>
      </c>
      <c r="D77" s="53" t="s">
        <v>249</v>
      </c>
      <c r="E77" s="53" t="s">
        <v>14</v>
      </c>
      <c r="F77" s="53" t="s">
        <v>28</v>
      </c>
      <c r="G77" s="56"/>
      <c r="H77" s="57" t="s">
        <v>23</v>
      </c>
      <c r="I77" s="53">
        <v>21.0</v>
      </c>
      <c r="J77" s="58">
        <v>1050.0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33"/>
      <c r="C78" s="54" t="s">
        <v>251</v>
      </c>
      <c r="D78" s="53" t="s">
        <v>190</v>
      </c>
      <c r="E78" s="53" t="s">
        <v>253</v>
      </c>
      <c r="F78" s="53" t="s">
        <v>74</v>
      </c>
      <c r="G78" s="56"/>
      <c r="H78" s="57" t="s">
        <v>29</v>
      </c>
      <c r="I78" s="53">
        <v>18.0</v>
      </c>
      <c r="J78" s="58">
        <v>525.0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33"/>
      <c r="B79" s="38"/>
      <c r="C79" s="26" t="s">
        <v>257</v>
      </c>
      <c r="D79" s="25" t="s">
        <v>14</v>
      </c>
      <c r="E79" s="25" t="s">
        <v>14</v>
      </c>
      <c r="F79" s="25" t="s">
        <v>41</v>
      </c>
      <c r="G79" s="28"/>
      <c r="H79" s="29" t="s">
        <v>40</v>
      </c>
      <c r="I79" s="25">
        <v>6.0</v>
      </c>
      <c r="J79" s="30">
        <v>225.0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40"/>
      <c r="B80" s="43" t="s">
        <v>48</v>
      </c>
      <c r="C80" s="44"/>
      <c r="D80" s="44"/>
      <c r="E80" s="44"/>
      <c r="F80" s="44"/>
      <c r="G80" s="44"/>
      <c r="H80" s="45"/>
      <c r="I80" s="51">
        <f t="shared" ref="I80:J80" si="9">SUM(I76:I79)</f>
        <v>57</v>
      </c>
      <c r="J80" s="52">
        <f t="shared" si="9"/>
        <v>2500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24" t="s">
        <v>262</v>
      </c>
      <c r="B81" s="53">
        <v>400.0</v>
      </c>
      <c r="C81" s="54" t="s">
        <v>264</v>
      </c>
      <c r="D81" s="53" t="s">
        <v>14</v>
      </c>
      <c r="E81" s="53" t="s">
        <v>14</v>
      </c>
      <c r="F81" s="53" t="s">
        <v>15</v>
      </c>
      <c r="G81" s="56"/>
      <c r="H81" s="57" t="s">
        <v>18</v>
      </c>
      <c r="I81" s="53">
        <v>8.0</v>
      </c>
      <c r="J81" s="58">
        <v>400.0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33"/>
      <c r="B82" s="53" t="s">
        <v>19</v>
      </c>
      <c r="C82" s="54" t="s">
        <v>268</v>
      </c>
      <c r="D82" s="53" t="s">
        <v>148</v>
      </c>
      <c r="E82" s="53" t="s">
        <v>27</v>
      </c>
      <c r="F82" s="53" t="s">
        <v>15</v>
      </c>
      <c r="G82" s="56"/>
      <c r="H82" s="57" t="s">
        <v>269</v>
      </c>
      <c r="I82" s="53">
        <v>9.0</v>
      </c>
      <c r="J82" s="58">
        <v>400.0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33"/>
      <c r="B83" s="25" t="s">
        <v>117</v>
      </c>
      <c r="C83" s="26" t="s">
        <v>270</v>
      </c>
      <c r="D83" s="25" t="s">
        <v>36</v>
      </c>
      <c r="E83" s="25" t="s">
        <v>14</v>
      </c>
      <c r="F83" s="25" t="s">
        <v>15</v>
      </c>
      <c r="G83" s="28"/>
      <c r="H83" s="29" t="s">
        <v>271</v>
      </c>
      <c r="I83" s="25">
        <v>5.0</v>
      </c>
      <c r="J83" s="30">
        <v>200.0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33"/>
      <c r="B84" s="53" t="s">
        <v>169</v>
      </c>
      <c r="C84" s="54" t="s">
        <v>272</v>
      </c>
      <c r="D84" s="53" t="s">
        <v>14</v>
      </c>
      <c r="E84" s="53" t="s">
        <v>14</v>
      </c>
      <c r="F84" s="53" t="s">
        <v>15</v>
      </c>
      <c r="G84" s="56"/>
      <c r="H84" s="57" t="s">
        <v>273</v>
      </c>
      <c r="I84" s="53">
        <v>18.0</v>
      </c>
      <c r="J84" s="58">
        <v>900.0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33"/>
      <c r="C85" s="54" t="s">
        <v>274</v>
      </c>
      <c r="D85" s="53" t="s">
        <v>275</v>
      </c>
      <c r="E85" s="53" t="s">
        <v>14</v>
      </c>
      <c r="F85" s="53" t="s">
        <v>74</v>
      </c>
      <c r="G85" s="56"/>
      <c r="H85" s="57" t="s">
        <v>195</v>
      </c>
      <c r="I85" s="53">
        <v>18.0</v>
      </c>
      <c r="J85" s="58">
        <v>600.0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33"/>
      <c r="B86" s="38"/>
      <c r="C86" s="26" t="s">
        <v>277</v>
      </c>
      <c r="D86" s="25" t="s">
        <v>14</v>
      </c>
      <c r="E86" s="25" t="s">
        <v>14</v>
      </c>
      <c r="F86" s="25" t="s">
        <v>41</v>
      </c>
      <c r="G86" s="28"/>
      <c r="H86" s="29" t="s">
        <v>40</v>
      </c>
      <c r="I86" s="25">
        <v>6.0</v>
      </c>
      <c r="J86" s="30">
        <v>300.0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40"/>
      <c r="B87" s="43" t="s">
        <v>48</v>
      </c>
      <c r="C87" s="44"/>
      <c r="D87" s="44"/>
      <c r="E87" s="44"/>
      <c r="F87" s="44"/>
      <c r="G87" s="44"/>
      <c r="H87" s="45"/>
      <c r="I87" s="51">
        <f t="shared" ref="I87:J87" si="10">SUM(I81:I86)</f>
        <v>64</v>
      </c>
      <c r="J87" s="52">
        <f t="shared" si="10"/>
        <v>2800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6"/>
      <c r="B88" s="56"/>
      <c r="C88" s="56"/>
      <c r="D88" s="56"/>
      <c r="E88" s="56"/>
      <c r="F88" s="56"/>
      <c r="G88" s="56"/>
      <c r="H88" s="56"/>
      <c r="I88" s="56"/>
      <c r="J88" s="56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" t="s">
        <v>283</v>
      </c>
      <c r="B89" s="3"/>
      <c r="C89" s="3"/>
      <c r="D89" s="3"/>
      <c r="E89" s="3"/>
      <c r="F89" s="3"/>
      <c r="G89" s="3"/>
      <c r="H89" s="3"/>
      <c r="I89" s="3"/>
      <c r="J89" s="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7" t="s">
        <v>2</v>
      </c>
      <c r="B90" s="8" t="s">
        <v>3</v>
      </c>
      <c r="C90" s="10" t="s">
        <v>4</v>
      </c>
      <c r="D90" s="12" t="s">
        <v>5</v>
      </c>
      <c r="E90" s="14" t="s">
        <v>6</v>
      </c>
      <c r="F90" s="16" t="s">
        <v>7</v>
      </c>
      <c r="G90" s="18"/>
      <c r="H90" s="20" t="s">
        <v>8</v>
      </c>
      <c r="I90" s="22" t="s">
        <v>9</v>
      </c>
      <c r="J90" s="22" t="s">
        <v>10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24" t="s">
        <v>289</v>
      </c>
      <c r="B91" s="53" t="s">
        <v>291</v>
      </c>
      <c r="C91" s="54" t="s">
        <v>293</v>
      </c>
      <c r="D91" s="53" t="s">
        <v>59</v>
      </c>
      <c r="E91" s="53" t="s">
        <v>14</v>
      </c>
      <c r="F91" s="53" t="s">
        <v>28</v>
      </c>
      <c r="G91" s="56"/>
      <c r="H91" s="57" t="s">
        <v>188</v>
      </c>
      <c r="I91" s="53">
        <v>8.0</v>
      </c>
      <c r="J91" s="58">
        <v>400.0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33"/>
      <c r="B92" s="38"/>
      <c r="C92" s="26" t="s">
        <v>294</v>
      </c>
      <c r="D92" s="38"/>
      <c r="E92" s="38"/>
      <c r="F92" s="25" t="s">
        <v>15</v>
      </c>
      <c r="G92" s="28"/>
      <c r="H92" s="29" t="s">
        <v>145</v>
      </c>
      <c r="I92" s="25">
        <v>10.0</v>
      </c>
      <c r="J92" s="30">
        <v>400.0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33"/>
      <c r="B93" s="53" t="s">
        <v>295</v>
      </c>
      <c r="C93" s="54" t="s">
        <v>296</v>
      </c>
      <c r="D93" s="53" t="s">
        <v>255</v>
      </c>
      <c r="E93" s="53" t="s">
        <v>14</v>
      </c>
      <c r="F93" s="53" t="s">
        <v>297</v>
      </c>
      <c r="G93" s="28"/>
      <c r="H93" s="57" t="s">
        <v>298</v>
      </c>
      <c r="I93" s="53">
        <v>30.0</v>
      </c>
      <c r="J93" s="58">
        <v>1200.0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33"/>
      <c r="B94" s="38"/>
      <c r="C94" s="26" t="s">
        <v>299</v>
      </c>
      <c r="D94" s="38"/>
      <c r="E94" s="38"/>
      <c r="F94" s="38"/>
      <c r="G94" s="28"/>
      <c r="H94" s="38"/>
      <c r="I94" s="38"/>
      <c r="J94" s="77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33"/>
      <c r="B95" s="25" t="s">
        <v>301</v>
      </c>
      <c r="C95" s="26" t="s">
        <v>302</v>
      </c>
      <c r="D95" s="25" t="s">
        <v>59</v>
      </c>
      <c r="E95" s="25" t="s">
        <v>303</v>
      </c>
      <c r="F95" s="25" t="s">
        <v>304</v>
      </c>
      <c r="G95" s="28"/>
      <c r="H95" s="29" t="s">
        <v>305</v>
      </c>
      <c r="I95" s="25">
        <v>20.0</v>
      </c>
      <c r="J95" s="30">
        <v>1000.0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40"/>
      <c r="B96" s="43" t="s">
        <v>48</v>
      </c>
      <c r="C96" s="44"/>
      <c r="D96" s="44"/>
      <c r="E96" s="44"/>
      <c r="F96" s="44"/>
      <c r="G96" s="44"/>
      <c r="H96" s="45"/>
      <c r="I96" s="51">
        <f t="shared" ref="I96:J96" si="11">SUM(I91:I95)</f>
        <v>68</v>
      </c>
      <c r="J96" s="52">
        <f t="shared" si="11"/>
        <v>3000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90" t="s">
        <v>311</v>
      </c>
      <c r="B97" s="91" t="s">
        <v>184</v>
      </c>
      <c r="C97" s="92" t="s">
        <v>312</v>
      </c>
      <c r="D97" s="93" t="s">
        <v>313</v>
      </c>
      <c r="E97" s="91" t="s">
        <v>14</v>
      </c>
      <c r="F97" s="93" t="s">
        <v>15</v>
      </c>
      <c r="G97" s="93" t="s">
        <v>314</v>
      </c>
      <c r="H97" s="95" t="s">
        <v>298</v>
      </c>
      <c r="I97" s="91">
        <v>25.0</v>
      </c>
      <c r="J97" s="96">
        <v>1200.0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33"/>
      <c r="B98" s="97"/>
      <c r="C98" s="92" t="s">
        <v>320</v>
      </c>
      <c r="D98" s="93" t="s">
        <v>255</v>
      </c>
      <c r="E98" s="97"/>
      <c r="F98" s="93" t="s">
        <v>28</v>
      </c>
      <c r="G98" s="93" t="s">
        <v>322</v>
      </c>
      <c r="H98" s="97"/>
      <c r="I98" s="97"/>
      <c r="J98" s="98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33"/>
      <c r="B99" s="99"/>
      <c r="C99" s="100" t="s">
        <v>324</v>
      </c>
      <c r="D99" s="101" t="s">
        <v>59</v>
      </c>
      <c r="E99" s="99"/>
      <c r="F99" s="101" t="s">
        <v>74</v>
      </c>
      <c r="G99" s="101" t="s">
        <v>325</v>
      </c>
      <c r="H99" s="99"/>
      <c r="I99" s="99"/>
      <c r="J99" s="102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33"/>
      <c r="B100" s="101">
        <v>300.0</v>
      </c>
      <c r="C100" s="100" t="s">
        <v>327</v>
      </c>
      <c r="D100" s="101" t="s">
        <v>14</v>
      </c>
      <c r="E100" s="101" t="s">
        <v>22</v>
      </c>
      <c r="F100" s="101" t="s">
        <v>15</v>
      </c>
      <c r="G100" s="103"/>
      <c r="H100" s="104" t="s">
        <v>328</v>
      </c>
      <c r="I100" s="101">
        <v>8.0</v>
      </c>
      <c r="J100" s="105">
        <v>300.0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33"/>
      <c r="B101" s="91" t="s">
        <v>329</v>
      </c>
      <c r="C101" s="92" t="s">
        <v>330</v>
      </c>
      <c r="D101" s="93" t="s">
        <v>59</v>
      </c>
      <c r="E101" s="91" t="s">
        <v>14</v>
      </c>
      <c r="F101" s="93" t="s">
        <v>331</v>
      </c>
      <c r="G101" s="93" t="s">
        <v>332</v>
      </c>
      <c r="H101" s="106" t="s">
        <v>333</v>
      </c>
      <c r="I101" s="91">
        <v>26.0</v>
      </c>
      <c r="J101" s="96">
        <v>800.0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33"/>
      <c r="B102" s="99"/>
      <c r="C102" s="100" t="s">
        <v>334</v>
      </c>
      <c r="D102" s="101" t="s">
        <v>255</v>
      </c>
      <c r="E102" s="99"/>
      <c r="F102" s="101" t="s">
        <v>15</v>
      </c>
      <c r="G102" s="101" t="s">
        <v>325</v>
      </c>
      <c r="H102" s="104" t="s">
        <v>335</v>
      </c>
      <c r="I102" s="99"/>
      <c r="J102" s="102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33"/>
      <c r="B103" s="101">
        <v>100.0</v>
      </c>
      <c r="C103" s="100" t="s">
        <v>336</v>
      </c>
      <c r="D103" s="101" t="s">
        <v>14</v>
      </c>
      <c r="E103" s="101" t="s">
        <v>14</v>
      </c>
      <c r="F103" s="101" t="s">
        <v>41</v>
      </c>
      <c r="G103" s="103"/>
      <c r="H103" s="104" t="s">
        <v>40</v>
      </c>
      <c r="I103" s="101">
        <v>2.0</v>
      </c>
      <c r="J103" s="105">
        <v>100.0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40"/>
      <c r="B104" s="107" t="s">
        <v>48</v>
      </c>
      <c r="C104" s="108"/>
      <c r="D104" s="108"/>
      <c r="E104" s="108"/>
      <c r="F104" s="108"/>
      <c r="G104" s="108"/>
      <c r="H104" s="109"/>
      <c r="I104" s="110">
        <f t="shared" ref="I104:J104" si="12">SUM(I97:I103)</f>
        <v>61</v>
      </c>
      <c r="J104" s="111">
        <f t="shared" si="12"/>
        <v>2400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24" t="s">
        <v>337</v>
      </c>
      <c r="B105" s="25">
        <v>400.0</v>
      </c>
      <c r="C105" s="26" t="s">
        <v>338</v>
      </c>
      <c r="D105" s="25" t="s">
        <v>14</v>
      </c>
      <c r="E105" s="25" t="s">
        <v>14</v>
      </c>
      <c r="F105" s="25" t="s">
        <v>15</v>
      </c>
      <c r="G105" s="28"/>
      <c r="H105" s="29" t="s">
        <v>339</v>
      </c>
      <c r="I105" s="25">
        <v>9.0</v>
      </c>
      <c r="J105" s="30">
        <v>400.0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33"/>
      <c r="B106" s="53" t="s">
        <v>57</v>
      </c>
      <c r="C106" s="54" t="s">
        <v>340</v>
      </c>
      <c r="D106" s="53" t="s">
        <v>14</v>
      </c>
      <c r="E106" s="53" t="s">
        <v>22</v>
      </c>
      <c r="F106" s="53" t="s">
        <v>15</v>
      </c>
      <c r="G106" s="56"/>
      <c r="H106" s="57" t="s">
        <v>341</v>
      </c>
      <c r="I106" s="53">
        <v>12.0</v>
      </c>
      <c r="J106" s="58">
        <v>600.0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33"/>
      <c r="C107" s="54" t="s">
        <v>342</v>
      </c>
      <c r="D107" s="53" t="s">
        <v>59</v>
      </c>
      <c r="E107" s="53" t="s">
        <v>14</v>
      </c>
      <c r="F107" s="53" t="s">
        <v>28</v>
      </c>
      <c r="G107" s="56"/>
      <c r="H107" s="57" t="s">
        <v>343</v>
      </c>
      <c r="I107" s="53">
        <v>20.0</v>
      </c>
      <c r="J107" s="58">
        <v>800.0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33"/>
      <c r="C108" s="54" t="s">
        <v>344</v>
      </c>
      <c r="D108" s="53" t="s">
        <v>190</v>
      </c>
      <c r="E108" s="53" t="s">
        <v>14</v>
      </c>
      <c r="F108" s="53" t="s">
        <v>74</v>
      </c>
      <c r="G108" s="56"/>
      <c r="H108" s="57" t="s">
        <v>345</v>
      </c>
      <c r="I108" s="53">
        <v>10.0</v>
      </c>
      <c r="J108" s="58">
        <v>300.0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33"/>
      <c r="B109" s="38"/>
      <c r="C109" s="26" t="s">
        <v>346</v>
      </c>
      <c r="D109" s="25" t="s">
        <v>14</v>
      </c>
      <c r="E109" s="25" t="s">
        <v>14</v>
      </c>
      <c r="F109" s="25" t="s">
        <v>41</v>
      </c>
      <c r="G109" s="28"/>
      <c r="H109" s="29" t="s">
        <v>347</v>
      </c>
      <c r="I109" s="25">
        <v>6.0</v>
      </c>
      <c r="J109" s="30">
        <v>200.0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33"/>
      <c r="B110" s="25">
        <v>400.0</v>
      </c>
      <c r="C110" s="26" t="s">
        <v>348</v>
      </c>
      <c r="D110" s="25" t="s">
        <v>14</v>
      </c>
      <c r="E110" s="25" t="s">
        <v>37</v>
      </c>
      <c r="F110" s="25" t="s">
        <v>15</v>
      </c>
      <c r="G110" s="28"/>
      <c r="H110" s="29" t="s">
        <v>349</v>
      </c>
      <c r="I110" s="25">
        <v>10.0</v>
      </c>
      <c r="J110" s="30">
        <v>400.0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40"/>
      <c r="B111" s="43" t="s">
        <v>48</v>
      </c>
      <c r="C111" s="44"/>
      <c r="D111" s="44"/>
      <c r="E111" s="44"/>
      <c r="F111" s="44"/>
      <c r="G111" s="44"/>
      <c r="H111" s="45"/>
      <c r="I111" s="51">
        <f t="shared" ref="I111:J111" si="13">SUM(I105:I110)</f>
        <v>67</v>
      </c>
      <c r="J111" s="52">
        <f t="shared" si="13"/>
        <v>2700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90" t="s">
        <v>350</v>
      </c>
      <c r="B112" s="91" t="s">
        <v>351</v>
      </c>
      <c r="C112" s="92" t="s">
        <v>352</v>
      </c>
      <c r="D112" s="93" t="s">
        <v>255</v>
      </c>
      <c r="E112" s="93" t="s">
        <v>213</v>
      </c>
      <c r="F112" s="93" t="s">
        <v>15</v>
      </c>
      <c r="G112" s="112"/>
      <c r="H112" s="106" t="s">
        <v>353</v>
      </c>
      <c r="I112" s="93">
        <v>15.0</v>
      </c>
      <c r="J112" s="113">
        <v>700.0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33"/>
      <c r="B113" s="97"/>
      <c r="C113" s="92" t="s">
        <v>354</v>
      </c>
      <c r="D113" s="93" t="s">
        <v>255</v>
      </c>
      <c r="E113" s="93" t="s">
        <v>22</v>
      </c>
      <c r="F113" s="93" t="s">
        <v>355</v>
      </c>
      <c r="G113" s="112"/>
      <c r="H113" s="106" t="s">
        <v>356</v>
      </c>
      <c r="I113" s="93">
        <v>15.0</v>
      </c>
      <c r="J113" s="113">
        <v>700.0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33"/>
      <c r="B114" s="97"/>
      <c r="C114" s="92" t="s">
        <v>357</v>
      </c>
      <c r="D114" s="93" t="s">
        <v>59</v>
      </c>
      <c r="E114" s="93" t="s">
        <v>14</v>
      </c>
      <c r="F114" s="93" t="s">
        <v>15</v>
      </c>
      <c r="G114" s="112"/>
      <c r="H114" s="106" t="s">
        <v>358</v>
      </c>
      <c r="I114" s="93">
        <v>17.0</v>
      </c>
      <c r="J114" s="113">
        <v>700.0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33"/>
      <c r="B115" s="99"/>
      <c r="C115" s="100" t="s">
        <v>359</v>
      </c>
      <c r="D115" s="101" t="s">
        <v>59</v>
      </c>
      <c r="E115" s="101" t="s">
        <v>14</v>
      </c>
      <c r="F115" s="101" t="s">
        <v>360</v>
      </c>
      <c r="G115" s="103"/>
      <c r="H115" s="104" t="s">
        <v>341</v>
      </c>
      <c r="I115" s="101">
        <v>15.0</v>
      </c>
      <c r="J115" s="105">
        <v>700.0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33"/>
      <c r="B116" s="101">
        <v>100.0</v>
      </c>
      <c r="C116" s="100" t="s">
        <v>336</v>
      </c>
      <c r="D116" s="101" t="s">
        <v>14</v>
      </c>
      <c r="E116" s="101" t="s">
        <v>14</v>
      </c>
      <c r="F116" s="101" t="s">
        <v>41</v>
      </c>
      <c r="G116" s="103"/>
      <c r="H116" s="104" t="s">
        <v>40</v>
      </c>
      <c r="I116" s="101">
        <v>2.0</v>
      </c>
      <c r="J116" s="105">
        <v>100.0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33"/>
      <c r="B117" s="101" t="s">
        <v>361</v>
      </c>
      <c r="C117" s="100" t="s">
        <v>205</v>
      </c>
      <c r="D117" s="101" t="s">
        <v>14</v>
      </c>
      <c r="E117" s="101" t="s">
        <v>14</v>
      </c>
      <c r="F117" s="101" t="s">
        <v>14</v>
      </c>
      <c r="G117" s="103"/>
      <c r="H117" s="104" t="s">
        <v>205</v>
      </c>
      <c r="I117" s="101">
        <v>5.0</v>
      </c>
      <c r="J117" s="114">
        <v>100.0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40"/>
      <c r="B118" s="107" t="s">
        <v>48</v>
      </c>
      <c r="C118" s="108"/>
      <c r="D118" s="108"/>
      <c r="E118" s="108"/>
      <c r="F118" s="108"/>
      <c r="G118" s="108"/>
      <c r="H118" s="109"/>
      <c r="I118" s="110">
        <f t="shared" ref="I118:J118" si="14">SUM(I112:I117)</f>
        <v>69</v>
      </c>
      <c r="J118" s="111">
        <f t="shared" si="14"/>
        <v>3000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24" t="s">
        <v>362</v>
      </c>
      <c r="B119" s="25">
        <v>600.0</v>
      </c>
      <c r="C119" s="26" t="s">
        <v>363</v>
      </c>
      <c r="D119" s="25" t="s">
        <v>14</v>
      </c>
      <c r="E119" s="25" t="s">
        <v>14</v>
      </c>
      <c r="F119" s="25" t="s">
        <v>15</v>
      </c>
      <c r="G119" s="28"/>
      <c r="H119" s="29" t="s">
        <v>18</v>
      </c>
      <c r="I119" s="25">
        <v>15.0</v>
      </c>
      <c r="J119" s="30">
        <v>600.0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33"/>
      <c r="B120" s="53" t="s">
        <v>234</v>
      </c>
      <c r="C120" s="54" t="s">
        <v>364</v>
      </c>
      <c r="D120" s="53" t="s">
        <v>255</v>
      </c>
      <c r="E120" s="53" t="s">
        <v>14</v>
      </c>
      <c r="F120" s="53" t="s">
        <v>74</v>
      </c>
      <c r="G120" s="56"/>
      <c r="H120" s="57" t="s">
        <v>365</v>
      </c>
      <c r="I120" s="53">
        <v>3.0</v>
      </c>
      <c r="J120" s="58">
        <v>100.0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33"/>
      <c r="B121" s="38"/>
      <c r="C121" s="26" t="s">
        <v>366</v>
      </c>
      <c r="D121" s="38"/>
      <c r="E121" s="38"/>
      <c r="F121" s="25" t="s">
        <v>15</v>
      </c>
      <c r="G121" s="28"/>
      <c r="H121" s="29" t="s">
        <v>23</v>
      </c>
      <c r="I121" s="25">
        <v>4.0</v>
      </c>
      <c r="J121" s="30">
        <v>200.0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33"/>
      <c r="B122" s="53" t="s">
        <v>234</v>
      </c>
      <c r="C122" s="54" t="s">
        <v>367</v>
      </c>
      <c r="D122" s="53" t="s">
        <v>255</v>
      </c>
      <c r="E122" s="53" t="s">
        <v>14</v>
      </c>
      <c r="F122" s="53" t="s">
        <v>74</v>
      </c>
      <c r="G122" s="56"/>
      <c r="H122" s="57" t="s">
        <v>365</v>
      </c>
      <c r="I122" s="53">
        <v>6.0</v>
      </c>
      <c r="J122" s="58">
        <v>200.0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33"/>
      <c r="B123" s="38"/>
      <c r="C123" s="26" t="s">
        <v>366</v>
      </c>
      <c r="D123" s="38"/>
      <c r="E123" s="38"/>
      <c r="F123" s="25" t="s">
        <v>15</v>
      </c>
      <c r="G123" s="28"/>
      <c r="H123" s="29" t="s">
        <v>23</v>
      </c>
      <c r="I123" s="25">
        <v>4.0</v>
      </c>
      <c r="J123" s="30">
        <v>200.0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33"/>
      <c r="B124" s="53" t="s">
        <v>234</v>
      </c>
      <c r="C124" s="54" t="s">
        <v>368</v>
      </c>
      <c r="D124" s="53" t="s">
        <v>255</v>
      </c>
      <c r="E124" s="53" t="s">
        <v>22</v>
      </c>
      <c r="F124" s="53" t="s">
        <v>74</v>
      </c>
      <c r="G124" s="56"/>
      <c r="H124" s="57" t="s">
        <v>365</v>
      </c>
      <c r="I124" s="53">
        <v>8.0</v>
      </c>
      <c r="J124" s="58">
        <v>300.0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33"/>
      <c r="B125" s="38"/>
      <c r="C125" s="26" t="s">
        <v>366</v>
      </c>
      <c r="D125" s="38"/>
      <c r="E125" s="38"/>
      <c r="F125" s="25" t="s">
        <v>15</v>
      </c>
      <c r="G125" s="28"/>
      <c r="H125" s="29" t="s">
        <v>23</v>
      </c>
      <c r="I125" s="25">
        <v>4.0</v>
      </c>
      <c r="J125" s="30">
        <v>200.0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33"/>
      <c r="B126" s="53" t="s">
        <v>234</v>
      </c>
      <c r="C126" s="54" t="s">
        <v>369</v>
      </c>
      <c r="D126" s="53" t="s">
        <v>255</v>
      </c>
      <c r="E126" s="53" t="s">
        <v>14</v>
      </c>
      <c r="F126" s="53" t="s">
        <v>74</v>
      </c>
      <c r="G126" s="56"/>
      <c r="H126" s="57" t="s">
        <v>288</v>
      </c>
      <c r="I126" s="53">
        <v>4.0</v>
      </c>
      <c r="J126" s="58">
        <v>200.0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33"/>
      <c r="B127" s="38"/>
      <c r="C127" s="26" t="s">
        <v>370</v>
      </c>
      <c r="D127" s="38"/>
      <c r="E127" s="38"/>
      <c r="F127" s="25" t="s">
        <v>15</v>
      </c>
      <c r="G127" s="28"/>
      <c r="H127" s="29" t="s">
        <v>23</v>
      </c>
      <c r="I127" s="25">
        <v>10.0</v>
      </c>
      <c r="J127" s="30">
        <v>400.0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40"/>
      <c r="B128" s="43" t="s">
        <v>48</v>
      </c>
      <c r="C128" s="44"/>
      <c r="D128" s="44"/>
      <c r="E128" s="44"/>
      <c r="F128" s="44"/>
      <c r="G128" s="44"/>
      <c r="H128" s="44"/>
      <c r="I128" s="43">
        <f t="shared" ref="I128:J128" si="15">SUM(I119:I127)</f>
        <v>58</v>
      </c>
      <c r="J128" s="115">
        <f t="shared" si="15"/>
        <v>2400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16" t="s">
        <v>371</v>
      </c>
      <c r="B129" s="117"/>
      <c r="C129" s="117"/>
      <c r="D129" s="117"/>
      <c r="E129" s="117"/>
      <c r="F129" s="117"/>
      <c r="G129" s="117"/>
      <c r="H129" s="117"/>
      <c r="I129" s="117"/>
      <c r="J129" s="117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16" t="s">
        <v>372</v>
      </c>
      <c r="B130" s="117"/>
      <c r="C130" s="118" t="s">
        <v>373</v>
      </c>
      <c r="D130" s="117"/>
      <c r="E130" s="117"/>
      <c r="F130" s="117"/>
      <c r="G130" s="117"/>
      <c r="H130" s="117"/>
      <c r="I130" s="117"/>
      <c r="J130" s="117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" t="s">
        <v>374</v>
      </c>
      <c r="B131" s="3"/>
      <c r="C131" s="3"/>
      <c r="D131" s="3"/>
      <c r="E131" s="3"/>
      <c r="F131" s="3"/>
      <c r="G131" s="3"/>
      <c r="H131" s="3"/>
      <c r="I131" s="3"/>
      <c r="J131" s="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7" t="s">
        <v>2</v>
      </c>
      <c r="B132" s="8" t="s">
        <v>3</v>
      </c>
      <c r="C132" s="10" t="s">
        <v>4</v>
      </c>
      <c r="D132" s="12" t="s">
        <v>5</v>
      </c>
      <c r="E132" s="14" t="s">
        <v>6</v>
      </c>
      <c r="F132" s="16" t="s">
        <v>7</v>
      </c>
      <c r="G132" s="18"/>
      <c r="H132" s="20" t="s">
        <v>8</v>
      </c>
      <c r="I132" s="22" t="s">
        <v>9</v>
      </c>
      <c r="J132" s="22" t="s">
        <v>10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90" t="s">
        <v>375</v>
      </c>
      <c r="B133" s="91" t="s">
        <v>57</v>
      </c>
      <c r="C133" s="92" t="s">
        <v>376</v>
      </c>
      <c r="D133" s="93" t="s">
        <v>377</v>
      </c>
      <c r="E133" s="93" t="s">
        <v>14</v>
      </c>
      <c r="F133" s="93" t="s">
        <v>378</v>
      </c>
      <c r="G133" s="112"/>
      <c r="H133" s="106" t="s">
        <v>341</v>
      </c>
      <c r="I133" s="93">
        <v>25.0</v>
      </c>
      <c r="J133" s="113">
        <v>1200.0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33"/>
      <c r="B134" s="97"/>
      <c r="C134" s="92" t="s">
        <v>379</v>
      </c>
      <c r="D134" s="93" t="s">
        <v>380</v>
      </c>
      <c r="E134" s="93" t="s">
        <v>308</v>
      </c>
      <c r="F134" s="93" t="s">
        <v>28</v>
      </c>
      <c r="G134" s="112"/>
      <c r="H134" s="106" t="s">
        <v>381</v>
      </c>
      <c r="I134" s="93">
        <v>18.0</v>
      </c>
      <c r="J134" s="113">
        <v>600.0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33"/>
      <c r="B135" s="99"/>
      <c r="C135" s="100" t="s">
        <v>382</v>
      </c>
      <c r="D135" s="101" t="s">
        <v>14</v>
      </c>
      <c r="E135" s="101" t="s">
        <v>383</v>
      </c>
      <c r="F135" s="101" t="s">
        <v>15</v>
      </c>
      <c r="G135" s="103"/>
      <c r="H135" s="104" t="s">
        <v>384</v>
      </c>
      <c r="I135" s="101">
        <v>16.0</v>
      </c>
      <c r="J135" s="105">
        <v>800.0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40"/>
      <c r="B136" s="107" t="s">
        <v>48</v>
      </c>
      <c r="C136" s="108"/>
      <c r="D136" s="108"/>
      <c r="E136" s="108"/>
      <c r="F136" s="108"/>
      <c r="G136" s="108"/>
      <c r="H136" s="109"/>
      <c r="I136" s="110">
        <f t="shared" ref="I136:J136" si="16">SUM(I133:I135)</f>
        <v>59</v>
      </c>
      <c r="J136" s="111">
        <f t="shared" si="16"/>
        <v>2600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24" t="s">
        <v>385</v>
      </c>
      <c r="B137" s="25">
        <v>800.0</v>
      </c>
      <c r="C137" s="26" t="s">
        <v>386</v>
      </c>
      <c r="D137" s="25" t="s">
        <v>14</v>
      </c>
      <c r="E137" s="25" t="s">
        <v>27</v>
      </c>
      <c r="F137" s="25" t="s">
        <v>15</v>
      </c>
      <c r="G137" s="28"/>
      <c r="H137" s="29" t="s">
        <v>232</v>
      </c>
      <c r="I137" s="25">
        <v>15.0</v>
      </c>
      <c r="J137" s="30">
        <v>800.0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33"/>
      <c r="B138" s="53" t="s">
        <v>57</v>
      </c>
      <c r="C138" s="54" t="s">
        <v>387</v>
      </c>
      <c r="D138" s="53" t="s">
        <v>68</v>
      </c>
      <c r="E138" s="53" t="s">
        <v>22</v>
      </c>
      <c r="F138" s="53" t="s">
        <v>28</v>
      </c>
      <c r="G138" s="56"/>
      <c r="H138" s="57" t="s">
        <v>388</v>
      </c>
      <c r="I138" s="53">
        <v>16.0</v>
      </c>
      <c r="J138" s="58">
        <v>600.0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33"/>
      <c r="B139" s="38"/>
      <c r="C139" s="26" t="s">
        <v>389</v>
      </c>
      <c r="D139" s="25" t="s">
        <v>14</v>
      </c>
      <c r="E139" s="25" t="s">
        <v>14</v>
      </c>
      <c r="F139" s="25" t="s">
        <v>15</v>
      </c>
      <c r="G139" s="28"/>
      <c r="H139" s="29" t="s">
        <v>288</v>
      </c>
      <c r="I139" s="25">
        <v>7.0</v>
      </c>
      <c r="J139" s="30">
        <v>200.0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33"/>
      <c r="B140" s="81" t="s">
        <v>169</v>
      </c>
      <c r="C140" s="82" t="s">
        <v>390</v>
      </c>
      <c r="D140" s="81" t="s">
        <v>148</v>
      </c>
      <c r="E140" s="81" t="s">
        <v>14</v>
      </c>
      <c r="F140" s="81" t="s">
        <v>74</v>
      </c>
      <c r="G140" s="83"/>
      <c r="H140" s="84" t="s">
        <v>391</v>
      </c>
      <c r="I140" s="81">
        <v>12.0</v>
      </c>
      <c r="J140" s="85">
        <v>450.0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33"/>
      <c r="B141" s="38"/>
      <c r="C141" s="26" t="s">
        <v>392</v>
      </c>
      <c r="D141" s="25" t="s">
        <v>14</v>
      </c>
      <c r="E141" s="25" t="s">
        <v>14</v>
      </c>
      <c r="F141" s="25" t="s">
        <v>15</v>
      </c>
      <c r="G141" s="28"/>
      <c r="H141" s="29" t="s">
        <v>393</v>
      </c>
      <c r="I141" s="25">
        <v>8.0</v>
      </c>
      <c r="J141" s="30">
        <v>300.0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33"/>
      <c r="B142" s="25">
        <v>300.0</v>
      </c>
      <c r="C142" s="26" t="s">
        <v>394</v>
      </c>
      <c r="D142" s="25" t="s">
        <v>14</v>
      </c>
      <c r="E142" s="25" t="s">
        <v>22</v>
      </c>
      <c r="F142" s="25" t="s">
        <v>15</v>
      </c>
      <c r="G142" s="28"/>
      <c r="H142" s="29" t="s">
        <v>40</v>
      </c>
      <c r="I142" s="25">
        <v>5.0</v>
      </c>
      <c r="J142" s="30">
        <v>300.0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40"/>
      <c r="B143" s="43" t="s">
        <v>48</v>
      </c>
      <c r="C143" s="44"/>
      <c r="D143" s="44"/>
      <c r="E143" s="44"/>
      <c r="F143" s="44"/>
      <c r="G143" s="44"/>
      <c r="H143" s="44"/>
      <c r="I143" s="43">
        <f t="shared" ref="I143:J143" si="17">SUM(I137:I142)</f>
        <v>63</v>
      </c>
      <c r="J143" s="115">
        <f t="shared" si="17"/>
        <v>2650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90" t="s">
        <v>395</v>
      </c>
      <c r="B144" s="93">
        <v>200.0</v>
      </c>
      <c r="C144" s="92" t="s">
        <v>396</v>
      </c>
      <c r="D144" s="93" t="s">
        <v>14</v>
      </c>
      <c r="E144" s="93" t="s">
        <v>14</v>
      </c>
      <c r="F144" s="93" t="s">
        <v>15</v>
      </c>
      <c r="G144" s="112"/>
      <c r="H144" s="106" t="s">
        <v>18</v>
      </c>
      <c r="I144" s="93">
        <v>5.0</v>
      </c>
      <c r="J144" s="113">
        <v>200.0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33"/>
      <c r="B145" s="93" t="s">
        <v>117</v>
      </c>
      <c r="C145" s="92" t="s">
        <v>397</v>
      </c>
      <c r="D145" s="93" t="s">
        <v>236</v>
      </c>
      <c r="E145" s="93" t="s">
        <v>14</v>
      </c>
      <c r="F145" s="93" t="s">
        <v>15</v>
      </c>
      <c r="G145" s="112"/>
      <c r="H145" s="106" t="s">
        <v>134</v>
      </c>
      <c r="I145" s="93">
        <v>5.0</v>
      </c>
      <c r="J145" s="113">
        <v>200.0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33"/>
      <c r="B146" s="101" t="s">
        <v>84</v>
      </c>
      <c r="C146" s="100" t="s">
        <v>398</v>
      </c>
      <c r="D146" s="101" t="s">
        <v>190</v>
      </c>
      <c r="E146" s="101" t="s">
        <v>22</v>
      </c>
      <c r="F146" s="101" t="s">
        <v>15</v>
      </c>
      <c r="G146" s="103"/>
      <c r="H146" s="104" t="s">
        <v>399</v>
      </c>
      <c r="I146" s="101">
        <v>3.5</v>
      </c>
      <c r="J146" s="105">
        <v>100.0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33"/>
      <c r="B147" s="93" t="s">
        <v>31</v>
      </c>
      <c r="C147" s="92" t="s">
        <v>400</v>
      </c>
      <c r="D147" s="93" t="s">
        <v>59</v>
      </c>
      <c r="E147" s="93" t="s">
        <v>14</v>
      </c>
      <c r="F147" s="93" t="s">
        <v>100</v>
      </c>
      <c r="G147" s="112"/>
      <c r="H147" s="106" t="s">
        <v>401</v>
      </c>
      <c r="I147" s="93">
        <v>15.0</v>
      </c>
      <c r="J147" s="113">
        <v>800.0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33"/>
      <c r="B148" s="91" t="s">
        <v>24</v>
      </c>
      <c r="C148" s="92" t="s">
        <v>402</v>
      </c>
      <c r="D148" s="91" t="s">
        <v>26</v>
      </c>
      <c r="E148" s="93" t="s">
        <v>213</v>
      </c>
      <c r="F148" s="93" t="s">
        <v>15</v>
      </c>
      <c r="G148" s="112"/>
      <c r="H148" s="95" t="s">
        <v>403</v>
      </c>
      <c r="I148" s="93">
        <v>4.0</v>
      </c>
      <c r="J148" s="113">
        <v>200.0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33"/>
      <c r="B149" s="97"/>
      <c r="C149" s="92" t="s">
        <v>404</v>
      </c>
      <c r="D149" s="119"/>
      <c r="E149" s="93" t="s">
        <v>22</v>
      </c>
      <c r="F149" s="93" t="s">
        <v>15</v>
      </c>
      <c r="G149" s="112"/>
      <c r="H149" s="119"/>
      <c r="I149" s="93">
        <v>4.0</v>
      </c>
      <c r="J149" s="113">
        <v>200.0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33"/>
      <c r="B150" s="99"/>
      <c r="C150" s="100" t="s">
        <v>405</v>
      </c>
      <c r="D150" s="101" t="s">
        <v>255</v>
      </c>
      <c r="E150" s="101" t="s">
        <v>14</v>
      </c>
      <c r="F150" s="101" t="s">
        <v>103</v>
      </c>
      <c r="G150" s="103"/>
      <c r="H150" s="104" t="s">
        <v>406</v>
      </c>
      <c r="I150" s="101">
        <v>5.0</v>
      </c>
      <c r="J150" s="105">
        <v>200.0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33"/>
      <c r="B151" s="91" t="s">
        <v>66</v>
      </c>
      <c r="C151" s="92" t="s">
        <v>407</v>
      </c>
      <c r="D151" s="91" t="s">
        <v>190</v>
      </c>
      <c r="E151" s="91" t="s">
        <v>22</v>
      </c>
      <c r="F151" s="91" t="s">
        <v>103</v>
      </c>
      <c r="G151" s="112"/>
      <c r="H151" s="106" t="s">
        <v>132</v>
      </c>
      <c r="I151" s="93">
        <v>5.0</v>
      </c>
      <c r="J151" s="113">
        <v>150.0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33"/>
      <c r="B152" s="99"/>
      <c r="C152" s="100" t="s">
        <v>408</v>
      </c>
      <c r="D152" s="99"/>
      <c r="E152" s="99"/>
      <c r="F152" s="99"/>
      <c r="G152" s="103"/>
      <c r="H152" s="104" t="s">
        <v>409</v>
      </c>
      <c r="I152" s="101">
        <v>5.0</v>
      </c>
      <c r="J152" s="105">
        <v>150.0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33"/>
      <c r="B153" s="101">
        <v>200.0</v>
      </c>
      <c r="C153" s="100" t="s">
        <v>410</v>
      </c>
      <c r="D153" s="101" t="s">
        <v>14</v>
      </c>
      <c r="E153" s="101" t="s">
        <v>14</v>
      </c>
      <c r="F153" s="101" t="s">
        <v>41</v>
      </c>
      <c r="G153" s="103"/>
      <c r="H153" s="104" t="s">
        <v>40</v>
      </c>
      <c r="I153" s="101">
        <v>5.0</v>
      </c>
      <c r="J153" s="105">
        <v>200.0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40"/>
      <c r="B154" s="107" t="s">
        <v>48</v>
      </c>
      <c r="C154" s="108"/>
      <c r="D154" s="108"/>
      <c r="E154" s="108"/>
      <c r="F154" s="108"/>
      <c r="G154" s="108"/>
      <c r="H154" s="109"/>
      <c r="I154" s="110">
        <f t="shared" ref="I154:J154" si="18">SUM(I144:I153)</f>
        <v>56.5</v>
      </c>
      <c r="J154" s="111">
        <f t="shared" si="18"/>
        <v>2400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24" t="s">
        <v>411</v>
      </c>
      <c r="B155" s="53">
        <v>400.0</v>
      </c>
      <c r="C155" s="54" t="s">
        <v>338</v>
      </c>
      <c r="D155" s="53" t="s">
        <v>14</v>
      </c>
      <c r="E155" s="53" t="s">
        <v>14</v>
      </c>
      <c r="F155" s="53" t="s">
        <v>15</v>
      </c>
      <c r="G155" s="56"/>
      <c r="H155" s="57" t="s">
        <v>18</v>
      </c>
      <c r="I155" s="53">
        <v>9.0</v>
      </c>
      <c r="J155" s="58">
        <v>400.0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33"/>
      <c r="B156" s="25" t="s">
        <v>117</v>
      </c>
      <c r="C156" s="26" t="s">
        <v>412</v>
      </c>
      <c r="D156" s="25" t="s">
        <v>236</v>
      </c>
      <c r="E156" s="25" t="s">
        <v>14</v>
      </c>
      <c r="F156" s="25" t="s">
        <v>15</v>
      </c>
      <c r="G156" s="28"/>
      <c r="H156" s="29" t="s">
        <v>413</v>
      </c>
      <c r="I156" s="25">
        <v>5.0</v>
      </c>
      <c r="J156" s="30">
        <v>200.0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33"/>
      <c r="B157" s="53" t="s">
        <v>19</v>
      </c>
      <c r="C157" s="54" t="s">
        <v>20</v>
      </c>
      <c r="D157" s="53" t="s">
        <v>414</v>
      </c>
      <c r="E157" s="53" t="s">
        <v>73</v>
      </c>
      <c r="F157" s="53" t="s">
        <v>15</v>
      </c>
      <c r="G157" s="56"/>
      <c r="H157" s="57" t="s">
        <v>415</v>
      </c>
      <c r="I157" s="53">
        <v>8.0</v>
      </c>
      <c r="J157" s="58">
        <v>400.0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33"/>
      <c r="B158" s="53" t="s">
        <v>117</v>
      </c>
      <c r="C158" s="54" t="s">
        <v>71</v>
      </c>
      <c r="D158" s="53" t="s">
        <v>275</v>
      </c>
      <c r="E158" s="53" t="s">
        <v>14</v>
      </c>
      <c r="F158" s="53" t="s">
        <v>74</v>
      </c>
      <c r="G158" s="56"/>
      <c r="H158" s="57" t="s">
        <v>416</v>
      </c>
      <c r="I158" s="53">
        <v>6.0</v>
      </c>
      <c r="J158" s="58">
        <v>200.0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33"/>
      <c r="B159" s="53" t="s">
        <v>19</v>
      </c>
      <c r="C159" s="54" t="s">
        <v>417</v>
      </c>
      <c r="D159" s="53" t="s">
        <v>418</v>
      </c>
      <c r="E159" s="53" t="s">
        <v>22</v>
      </c>
      <c r="F159" s="53" t="s">
        <v>15</v>
      </c>
      <c r="G159" s="56"/>
      <c r="H159" s="57" t="s">
        <v>419</v>
      </c>
      <c r="I159" s="53">
        <v>8.0</v>
      </c>
      <c r="J159" s="58">
        <v>400.0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33"/>
      <c r="B160" s="53" t="s">
        <v>117</v>
      </c>
      <c r="C160" s="54" t="s">
        <v>71</v>
      </c>
      <c r="D160" s="53" t="s">
        <v>275</v>
      </c>
      <c r="E160" s="53" t="s">
        <v>14</v>
      </c>
      <c r="F160" s="53" t="s">
        <v>74</v>
      </c>
      <c r="G160" s="56"/>
      <c r="H160" s="57" t="s">
        <v>416</v>
      </c>
      <c r="I160" s="53">
        <v>6.0</v>
      </c>
      <c r="J160" s="58">
        <v>200.0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33"/>
      <c r="B161" s="53" t="s">
        <v>19</v>
      </c>
      <c r="C161" s="54" t="s">
        <v>420</v>
      </c>
      <c r="D161" s="53" t="s">
        <v>421</v>
      </c>
      <c r="E161" s="53" t="s">
        <v>22</v>
      </c>
      <c r="F161" s="53" t="s">
        <v>15</v>
      </c>
      <c r="G161" s="56"/>
      <c r="H161" s="57" t="s">
        <v>422</v>
      </c>
      <c r="I161" s="53">
        <v>9.0</v>
      </c>
      <c r="J161" s="58">
        <v>400.0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33"/>
      <c r="B162" s="25">
        <v>200.0</v>
      </c>
      <c r="C162" s="26" t="s">
        <v>423</v>
      </c>
      <c r="D162" s="25" t="s">
        <v>14</v>
      </c>
      <c r="E162" s="25" t="s">
        <v>14</v>
      </c>
      <c r="F162" s="25" t="s">
        <v>15</v>
      </c>
      <c r="G162" s="28"/>
      <c r="H162" s="29" t="s">
        <v>424</v>
      </c>
      <c r="I162" s="25">
        <v>5.0</v>
      </c>
      <c r="J162" s="30">
        <v>200.0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33"/>
      <c r="B163" s="25">
        <v>300.0</v>
      </c>
      <c r="C163" s="26" t="s">
        <v>425</v>
      </c>
      <c r="D163" s="25" t="s">
        <v>14</v>
      </c>
      <c r="E163" s="25" t="s">
        <v>22</v>
      </c>
      <c r="F163" s="25" t="s">
        <v>15</v>
      </c>
      <c r="G163" s="28"/>
      <c r="H163" s="29" t="s">
        <v>426</v>
      </c>
      <c r="I163" s="25">
        <v>6.0</v>
      </c>
      <c r="J163" s="30">
        <v>300.0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40"/>
      <c r="B164" s="43" t="s">
        <v>48</v>
      </c>
      <c r="C164" s="44"/>
      <c r="D164" s="44"/>
      <c r="E164" s="44"/>
      <c r="F164" s="44"/>
      <c r="G164" s="44"/>
      <c r="H164" s="45"/>
      <c r="I164" s="51">
        <f t="shared" ref="I164:J164" si="19">SUM(I155:I163)</f>
        <v>62</v>
      </c>
      <c r="J164" s="52">
        <f t="shared" si="19"/>
        <v>2700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90" t="s">
        <v>427</v>
      </c>
      <c r="B165" s="93">
        <v>200.0</v>
      </c>
      <c r="C165" s="92" t="s">
        <v>428</v>
      </c>
      <c r="D165" s="93" t="s">
        <v>14</v>
      </c>
      <c r="E165" s="93" t="s">
        <v>152</v>
      </c>
      <c r="F165" s="93" t="s">
        <v>15</v>
      </c>
      <c r="G165" s="112"/>
      <c r="H165" s="106" t="s">
        <v>18</v>
      </c>
      <c r="I165" s="93">
        <v>5.0</v>
      </c>
      <c r="J165" s="113">
        <v>200.0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33"/>
      <c r="B166" s="101">
        <v>200.0</v>
      </c>
      <c r="C166" s="100" t="s">
        <v>67</v>
      </c>
      <c r="D166" s="101" t="s">
        <v>14</v>
      </c>
      <c r="E166" s="101" t="s">
        <v>152</v>
      </c>
      <c r="F166" s="101" t="s">
        <v>15</v>
      </c>
      <c r="G166" s="103"/>
      <c r="H166" s="104" t="s">
        <v>18</v>
      </c>
      <c r="I166" s="101">
        <v>4.0</v>
      </c>
      <c r="J166" s="105">
        <v>200.0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33"/>
      <c r="B167" s="93" t="s">
        <v>19</v>
      </c>
      <c r="C167" s="92" t="s">
        <v>71</v>
      </c>
      <c r="D167" s="93" t="s">
        <v>83</v>
      </c>
      <c r="E167" s="93" t="s">
        <v>73</v>
      </c>
      <c r="F167" s="93" t="s">
        <v>15</v>
      </c>
      <c r="G167" s="112"/>
      <c r="H167" s="106" t="s">
        <v>429</v>
      </c>
      <c r="I167" s="93">
        <v>8.0</v>
      </c>
      <c r="J167" s="113">
        <v>400.0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33"/>
      <c r="B168" s="101" t="s">
        <v>34</v>
      </c>
      <c r="C168" s="100" t="s">
        <v>71</v>
      </c>
      <c r="D168" s="101" t="s">
        <v>430</v>
      </c>
      <c r="E168" s="101" t="s">
        <v>14</v>
      </c>
      <c r="F168" s="101" t="s">
        <v>15</v>
      </c>
      <c r="G168" s="103"/>
      <c r="H168" s="104" t="s">
        <v>431</v>
      </c>
      <c r="I168" s="101">
        <v>8.0</v>
      </c>
      <c r="J168" s="105">
        <v>400.0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33"/>
      <c r="B169" s="93" t="s">
        <v>117</v>
      </c>
      <c r="C169" s="92" t="s">
        <v>432</v>
      </c>
      <c r="D169" s="93" t="s">
        <v>36</v>
      </c>
      <c r="E169" s="93" t="s">
        <v>14</v>
      </c>
      <c r="F169" s="93" t="s">
        <v>15</v>
      </c>
      <c r="G169" s="112"/>
      <c r="H169" s="106" t="s">
        <v>288</v>
      </c>
      <c r="I169" s="93">
        <v>5.0</v>
      </c>
      <c r="J169" s="113">
        <v>200.0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33"/>
      <c r="B170" s="101" t="s">
        <v>91</v>
      </c>
      <c r="C170" s="100" t="s">
        <v>420</v>
      </c>
      <c r="D170" s="101" t="s">
        <v>83</v>
      </c>
      <c r="E170" s="101" t="s">
        <v>22</v>
      </c>
      <c r="F170" s="101" t="s">
        <v>15</v>
      </c>
      <c r="G170" s="103"/>
      <c r="H170" s="104" t="s">
        <v>433</v>
      </c>
      <c r="I170" s="101">
        <v>6.0</v>
      </c>
      <c r="J170" s="105">
        <v>300.0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33"/>
      <c r="B171" s="93" t="s">
        <v>434</v>
      </c>
      <c r="C171" s="92" t="s">
        <v>435</v>
      </c>
      <c r="D171" s="93" t="s">
        <v>436</v>
      </c>
      <c r="E171" s="93" t="s">
        <v>308</v>
      </c>
      <c r="F171" s="93" t="s">
        <v>103</v>
      </c>
      <c r="G171" s="112"/>
      <c r="H171" s="106" t="s">
        <v>437</v>
      </c>
      <c r="I171" s="93">
        <v>15.0</v>
      </c>
      <c r="J171" s="113">
        <v>400.0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33"/>
      <c r="B172" s="101" t="s">
        <v>84</v>
      </c>
      <c r="C172" s="100" t="s">
        <v>438</v>
      </c>
      <c r="D172" s="101" t="s">
        <v>436</v>
      </c>
      <c r="E172" s="101" t="s">
        <v>14</v>
      </c>
      <c r="F172" s="101" t="s">
        <v>103</v>
      </c>
      <c r="G172" s="103"/>
      <c r="H172" s="104" t="s">
        <v>439</v>
      </c>
      <c r="I172" s="101">
        <v>7.0</v>
      </c>
      <c r="J172" s="105">
        <v>100.0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33"/>
      <c r="B173" s="101">
        <v>200.0</v>
      </c>
      <c r="C173" s="100" t="s">
        <v>40</v>
      </c>
      <c r="D173" s="101" t="s">
        <v>14</v>
      </c>
      <c r="E173" s="101" t="s">
        <v>152</v>
      </c>
      <c r="F173" s="101" t="s">
        <v>41</v>
      </c>
      <c r="G173" s="103"/>
      <c r="H173" s="104" t="s">
        <v>40</v>
      </c>
      <c r="I173" s="101">
        <v>5.0</v>
      </c>
      <c r="J173" s="105">
        <v>200.0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40"/>
      <c r="B174" s="107" t="s">
        <v>48</v>
      </c>
      <c r="C174" s="108"/>
      <c r="D174" s="108"/>
      <c r="E174" s="108"/>
      <c r="F174" s="108"/>
      <c r="G174" s="108"/>
      <c r="H174" s="109"/>
      <c r="I174" s="110">
        <f t="shared" ref="I174:J174" si="20">SUM(I165:I173)</f>
        <v>63</v>
      </c>
      <c r="J174" s="111">
        <f t="shared" si="20"/>
        <v>2400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16" t="s">
        <v>440</v>
      </c>
      <c r="B175" s="117"/>
      <c r="C175" s="117"/>
      <c r="D175" s="117"/>
      <c r="E175" s="117"/>
      <c r="F175" s="117"/>
      <c r="G175" s="117"/>
      <c r="H175" s="117"/>
      <c r="I175" s="117"/>
      <c r="J175" s="117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16" t="s">
        <v>441</v>
      </c>
      <c r="B176" s="117"/>
      <c r="C176" s="117"/>
      <c r="D176" s="117"/>
      <c r="E176" s="117"/>
      <c r="F176" s="117"/>
      <c r="G176" s="117"/>
      <c r="H176" s="117"/>
      <c r="I176" s="117"/>
      <c r="J176" s="117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6"/>
      <c r="B177" s="56"/>
      <c r="C177" s="56"/>
      <c r="D177" s="56"/>
      <c r="E177" s="56"/>
      <c r="F177" s="56"/>
      <c r="G177" s="56"/>
      <c r="H177" s="56"/>
      <c r="I177" s="56"/>
      <c r="J177" s="56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6"/>
      <c r="B178" s="56"/>
      <c r="C178" s="56"/>
      <c r="D178" s="56"/>
      <c r="E178" s="56"/>
      <c r="F178" s="56"/>
      <c r="G178" s="56"/>
      <c r="H178" s="56"/>
      <c r="I178" s="56"/>
      <c r="J178" s="56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6"/>
      <c r="B179" s="56"/>
      <c r="C179" s="56"/>
      <c r="D179" s="56"/>
      <c r="E179" s="56"/>
      <c r="F179" s="56"/>
      <c r="G179" s="56"/>
      <c r="H179" s="56"/>
      <c r="I179" s="56"/>
      <c r="J179" s="56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6"/>
      <c r="B180" s="56"/>
      <c r="C180" s="56"/>
      <c r="D180" s="56"/>
      <c r="E180" s="56"/>
      <c r="F180" s="56"/>
      <c r="G180" s="56"/>
      <c r="H180" s="56"/>
      <c r="I180" s="56"/>
      <c r="J180" s="5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6"/>
      <c r="B181" s="56"/>
      <c r="C181" s="56"/>
      <c r="D181" s="56"/>
      <c r="E181" s="56"/>
      <c r="F181" s="56"/>
      <c r="G181" s="56"/>
      <c r="H181" s="56"/>
      <c r="I181" s="56"/>
      <c r="J181" s="5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6"/>
      <c r="B182" s="56"/>
      <c r="C182" s="56"/>
      <c r="D182" s="56"/>
      <c r="E182" s="56"/>
      <c r="F182" s="56"/>
      <c r="G182" s="56"/>
      <c r="H182" s="56"/>
      <c r="I182" s="56"/>
      <c r="J182" s="5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6"/>
      <c r="B183" s="56"/>
      <c r="C183" s="56"/>
      <c r="D183" s="56"/>
      <c r="E183" s="56"/>
      <c r="F183" s="56"/>
      <c r="G183" s="56"/>
      <c r="H183" s="56"/>
      <c r="I183" s="56"/>
      <c r="J183" s="5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6"/>
      <c r="B184" s="56"/>
      <c r="C184" s="56"/>
      <c r="D184" s="56"/>
      <c r="E184" s="56"/>
      <c r="F184" s="56"/>
      <c r="G184" s="56"/>
      <c r="H184" s="56"/>
      <c r="I184" s="56"/>
      <c r="J184" s="5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6"/>
      <c r="B185" s="56"/>
      <c r="C185" s="56"/>
      <c r="D185" s="56"/>
      <c r="E185" s="56"/>
      <c r="F185" s="56"/>
      <c r="G185" s="56"/>
      <c r="H185" s="56"/>
      <c r="I185" s="56"/>
      <c r="J185" s="5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6"/>
      <c r="B186" s="56"/>
      <c r="C186" s="56"/>
      <c r="D186" s="56"/>
      <c r="E186" s="56"/>
      <c r="F186" s="56"/>
      <c r="G186" s="56"/>
      <c r="H186" s="56"/>
      <c r="I186" s="56"/>
      <c r="J186" s="5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6"/>
      <c r="B187" s="56"/>
      <c r="C187" s="56"/>
      <c r="D187" s="56"/>
      <c r="E187" s="56"/>
      <c r="F187" s="56"/>
      <c r="G187" s="56"/>
      <c r="H187" s="56"/>
      <c r="I187" s="56"/>
      <c r="J187" s="5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6"/>
      <c r="B188" s="56"/>
      <c r="C188" s="56"/>
      <c r="D188" s="56"/>
      <c r="E188" s="56"/>
      <c r="F188" s="56"/>
      <c r="G188" s="56"/>
      <c r="H188" s="56"/>
      <c r="I188" s="56"/>
      <c r="J188" s="56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6"/>
      <c r="B189" s="56"/>
      <c r="C189" s="56"/>
      <c r="D189" s="56"/>
      <c r="E189" s="56"/>
      <c r="F189" s="56"/>
      <c r="G189" s="56"/>
      <c r="H189" s="56"/>
      <c r="I189" s="56"/>
      <c r="J189" s="56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6"/>
      <c r="B190" s="56"/>
      <c r="C190" s="56"/>
      <c r="D190" s="56"/>
      <c r="E190" s="56"/>
      <c r="F190" s="56"/>
      <c r="G190" s="56"/>
      <c r="H190" s="56"/>
      <c r="I190" s="56"/>
      <c r="J190" s="56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6"/>
      <c r="B191" s="56"/>
      <c r="C191" s="56"/>
      <c r="D191" s="56"/>
      <c r="E191" s="56"/>
      <c r="F191" s="56"/>
      <c r="G191" s="56"/>
      <c r="H191" s="56"/>
      <c r="I191" s="56"/>
      <c r="J191" s="56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6"/>
      <c r="B192" s="56"/>
      <c r="C192" s="56"/>
      <c r="D192" s="56"/>
      <c r="E192" s="56"/>
      <c r="F192" s="56"/>
      <c r="G192" s="56"/>
      <c r="H192" s="56"/>
      <c r="I192" s="56"/>
      <c r="J192" s="56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6"/>
      <c r="B193" s="56"/>
      <c r="C193" s="56"/>
      <c r="D193" s="56"/>
      <c r="E193" s="56"/>
      <c r="F193" s="56"/>
      <c r="G193" s="56"/>
      <c r="H193" s="56"/>
      <c r="I193" s="56"/>
      <c r="J193" s="56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6"/>
      <c r="B194" s="56"/>
      <c r="C194" s="56"/>
      <c r="D194" s="56"/>
      <c r="E194" s="56"/>
      <c r="F194" s="56"/>
      <c r="G194" s="56"/>
      <c r="H194" s="56"/>
      <c r="I194" s="56"/>
      <c r="J194" s="56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6"/>
      <c r="B195" s="56"/>
      <c r="C195" s="56"/>
      <c r="D195" s="56"/>
      <c r="E195" s="56"/>
      <c r="F195" s="56"/>
      <c r="G195" s="56"/>
      <c r="H195" s="56"/>
      <c r="I195" s="56"/>
      <c r="J195" s="56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6"/>
      <c r="B196" s="56"/>
      <c r="C196" s="56"/>
      <c r="D196" s="56"/>
      <c r="E196" s="56"/>
      <c r="F196" s="56"/>
      <c r="G196" s="56"/>
      <c r="H196" s="56"/>
      <c r="I196" s="56"/>
      <c r="J196" s="56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6"/>
      <c r="B197" s="56"/>
      <c r="C197" s="56"/>
      <c r="D197" s="56"/>
      <c r="E197" s="56"/>
      <c r="F197" s="56"/>
      <c r="G197" s="56"/>
      <c r="H197" s="56"/>
      <c r="I197" s="56"/>
      <c r="J197" s="5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6"/>
      <c r="B198" s="56"/>
      <c r="C198" s="56"/>
      <c r="D198" s="56"/>
      <c r="E198" s="56"/>
      <c r="F198" s="56"/>
      <c r="G198" s="56"/>
      <c r="H198" s="56"/>
      <c r="I198" s="56"/>
      <c r="J198" s="5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6"/>
      <c r="B199" s="56"/>
      <c r="C199" s="56"/>
      <c r="D199" s="56"/>
      <c r="E199" s="56"/>
      <c r="F199" s="56"/>
      <c r="G199" s="56"/>
      <c r="H199" s="56"/>
      <c r="I199" s="56"/>
      <c r="J199" s="5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6"/>
      <c r="B200" s="56"/>
      <c r="C200" s="56"/>
      <c r="D200" s="56"/>
      <c r="E200" s="56"/>
      <c r="F200" s="56"/>
      <c r="G200" s="56"/>
      <c r="H200" s="56"/>
      <c r="I200" s="56"/>
      <c r="J200" s="5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6"/>
      <c r="B201" s="56"/>
      <c r="C201" s="56"/>
      <c r="D201" s="56"/>
      <c r="E201" s="56"/>
      <c r="F201" s="56"/>
      <c r="G201" s="56"/>
      <c r="H201" s="56"/>
      <c r="I201" s="56"/>
      <c r="J201" s="5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6"/>
      <c r="B202" s="56"/>
      <c r="C202" s="56"/>
      <c r="D202" s="56"/>
      <c r="E202" s="56"/>
      <c r="F202" s="56"/>
      <c r="G202" s="56"/>
      <c r="H202" s="56"/>
      <c r="I202" s="56"/>
      <c r="J202" s="5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6"/>
      <c r="B203" s="56"/>
      <c r="C203" s="56"/>
      <c r="D203" s="56"/>
      <c r="E203" s="56"/>
      <c r="F203" s="56"/>
      <c r="G203" s="56"/>
      <c r="H203" s="56"/>
      <c r="I203" s="56"/>
      <c r="J203" s="5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6"/>
      <c r="B204" s="56"/>
      <c r="C204" s="56"/>
      <c r="D204" s="56"/>
      <c r="E204" s="56"/>
      <c r="F204" s="56"/>
      <c r="G204" s="56"/>
      <c r="H204" s="56"/>
      <c r="I204" s="56"/>
      <c r="J204" s="5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6"/>
      <c r="B205" s="56"/>
      <c r="C205" s="56"/>
      <c r="D205" s="56"/>
      <c r="E205" s="56"/>
      <c r="F205" s="56"/>
      <c r="G205" s="56"/>
      <c r="H205" s="56"/>
      <c r="I205" s="56"/>
      <c r="J205" s="5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6"/>
      <c r="B206" s="56"/>
      <c r="C206" s="56"/>
      <c r="D206" s="56"/>
      <c r="E206" s="56"/>
      <c r="F206" s="56"/>
      <c r="G206" s="56"/>
      <c r="H206" s="56"/>
      <c r="I206" s="56"/>
      <c r="J206" s="5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6"/>
      <c r="B207" s="56"/>
      <c r="C207" s="56"/>
      <c r="D207" s="56"/>
      <c r="E207" s="56"/>
      <c r="F207" s="56"/>
      <c r="G207" s="56"/>
      <c r="H207" s="56"/>
      <c r="I207" s="56"/>
      <c r="J207" s="5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6"/>
      <c r="B208" s="56"/>
      <c r="C208" s="56"/>
      <c r="D208" s="56"/>
      <c r="E208" s="56"/>
      <c r="F208" s="56"/>
      <c r="G208" s="56"/>
      <c r="H208" s="56"/>
      <c r="I208" s="56"/>
      <c r="J208" s="5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6"/>
      <c r="B209" s="56"/>
      <c r="C209" s="56"/>
      <c r="D209" s="56"/>
      <c r="E209" s="56"/>
      <c r="F209" s="56"/>
      <c r="G209" s="56"/>
      <c r="H209" s="56"/>
      <c r="I209" s="56"/>
      <c r="J209" s="5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6"/>
      <c r="B210" s="56"/>
      <c r="C210" s="56"/>
      <c r="D210" s="56"/>
      <c r="E210" s="56"/>
      <c r="F210" s="56"/>
      <c r="G210" s="56"/>
      <c r="H210" s="56"/>
      <c r="I210" s="56"/>
      <c r="J210" s="5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6"/>
      <c r="B211" s="56"/>
      <c r="C211" s="56"/>
      <c r="D211" s="56"/>
      <c r="E211" s="56"/>
      <c r="F211" s="56"/>
      <c r="G211" s="56"/>
      <c r="H211" s="56"/>
      <c r="I211" s="56"/>
      <c r="J211" s="5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6"/>
      <c r="B212" s="56"/>
      <c r="C212" s="56"/>
      <c r="D212" s="56"/>
      <c r="E212" s="56"/>
      <c r="F212" s="56"/>
      <c r="G212" s="56"/>
      <c r="H212" s="56"/>
      <c r="I212" s="56"/>
      <c r="J212" s="5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6"/>
      <c r="B213" s="56"/>
      <c r="C213" s="56"/>
      <c r="D213" s="56"/>
      <c r="E213" s="56"/>
      <c r="F213" s="56"/>
      <c r="G213" s="56"/>
      <c r="H213" s="56"/>
      <c r="I213" s="56"/>
      <c r="J213" s="5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6"/>
      <c r="B214" s="56"/>
      <c r="C214" s="56"/>
      <c r="D214" s="56"/>
      <c r="E214" s="56"/>
      <c r="F214" s="56"/>
      <c r="G214" s="56"/>
      <c r="H214" s="56"/>
      <c r="I214" s="56"/>
      <c r="J214" s="5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6"/>
      <c r="B215" s="56"/>
      <c r="C215" s="56"/>
      <c r="D215" s="56"/>
      <c r="E215" s="56"/>
      <c r="F215" s="56"/>
      <c r="G215" s="56"/>
      <c r="H215" s="56"/>
      <c r="I215" s="56"/>
      <c r="J215" s="5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6"/>
      <c r="B216" s="56"/>
      <c r="C216" s="56"/>
      <c r="D216" s="56"/>
      <c r="E216" s="56"/>
      <c r="F216" s="56"/>
      <c r="G216" s="56"/>
      <c r="H216" s="56"/>
      <c r="I216" s="56"/>
      <c r="J216" s="5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6"/>
      <c r="B217" s="56"/>
      <c r="C217" s="56"/>
      <c r="D217" s="56"/>
      <c r="E217" s="56"/>
      <c r="F217" s="56"/>
      <c r="G217" s="56"/>
      <c r="H217" s="56"/>
      <c r="I217" s="56"/>
      <c r="J217" s="5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6"/>
      <c r="B218" s="56"/>
      <c r="C218" s="56"/>
      <c r="D218" s="56"/>
      <c r="E218" s="56"/>
      <c r="F218" s="56"/>
      <c r="G218" s="56"/>
      <c r="H218" s="56"/>
      <c r="I218" s="56"/>
      <c r="J218" s="5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6"/>
      <c r="B219" s="56"/>
      <c r="C219" s="56"/>
      <c r="D219" s="56"/>
      <c r="E219" s="56"/>
      <c r="F219" s="56"/>
      <c r="G219" s="56"/>
      <c r="H219" s="56"/>
      <c r="I219" s="56"/>
      <c r="J219" s="5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6"/>
      <c r="B220" s="56"/>
      <c r="C220" s="56"/>
      <c r="D220" s="56"/>
      <c r="E220" s="56"/>
      <c r="F220" s="56"/>
      <c r="G220" s="56"/>
      <c r="H220" s="56"/>
      <c r="I220" s="56"/>
      <c r="J220" s="5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6"/>
      <c r="B221" s="56"/>
      <c r="C221" s="56"/>
      <c r="D221" s="56"/>
      <c r="E221" s="56"/>
      <c r="F221" s="56"/>
      <c r="G221" s="56"/>
      <c r="H221" s="56"/>
      <c r="I221" s="56"/>
      <c r="J221" s="5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6"/>
      <c r="B222" s="56"/>
      <c r="C222" s="56"/>
      <c r="D222" s="56"/>
      <c r="E222" s="56"/>
      <c r="F222" s="56"/>
      <c r="G222" s="56"/>
      <c r="H222" s="56"/>
      <c r="I222" s="56"/>
      <c r="J222" s="5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6"/>
      <c r="B223" s="56"/>
      <c r="C223" s="56"/>
      <c r="D223" s="56"/>
      <c r="E223" s="56"/>
      <c r="F223" s="56"/>
      <c r="G223" s="56"/>
      <c r="H223" s="56"/>
      <c r="I223" s="56"/>
      <c r="J223" s="5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6"/>
      <c r="B224" s="56"/>
      <c r="C224" s="56"/>
      <c r="D224" s="56"/>
      <c r="E224" s="56"/>
      <c r="F224" s="56"/>
      <c r="G224" s="56"/>
      <c r="H224" s="56"/>
      <c r="I224" s="56"/>
      <c r="J224" s="5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6"/>
      <c r="B225" s="56"/>
      <c r="C225" s="56"/>
      <c r="D225" s="56"/>
      <c r="E225" s="56"/>
      <c r="F225" s="56"/>
      <c r="G225" s="56"/>
      <c r="H225" s="56"/>
      <c r="I225" s="56"/>
      <c r="J225" s="5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6"/>
      <c r="B226" s="56"/>
      <c r="C226" s="56"/>
      <c r="D226" s="56"/>
      <c r="E226" s="56"/>
      <c r="F226" s="56"/>
      <c r="G226" s="56"/>
      <c r="H226" s="56"/>
      <c r="I226" s="56"/>
      <c r="J226" s="56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6"/>
      <c r="B227" s="56"/>
      <c r="C227" s="56"/>
      <c r="D227" s="56"/>
      <c r="E227" s="56"/>
      <c r="F227" s="56"/>
      <c r="G227" s="56"/>
      <c r="H227" s="56"/>
      <c r="I227" s="56"/>
      <c r="J227" s="5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6"/>
      <c r="B228" s="56"/>
      <c r="C228" s="56"/>
      <c r="D228" s="56"/>
      <c r="E228" s="56"/>
      <c r="F228" s="56"/>
      <c r="G228" s="56"/>
      <c r="H228" s="56"/>
      <c r="I228" s="56"/>
      <c r="J228" s="5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6"/>
      <c r="B229" s="56"/>
      <c r="C229" s="56"/>
      <c r="D229" s="56"/>
      <c r="E229" s="56"/>
      <c r="F229" s="56"/>
      <c r="G229" s="56"/>
      <c r="H229" s="56"/>
      <c r="I229" s="56"/>
      <c r="J229" s="5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6"/>
      <c r="B230" s="56"/>
      <c r="C230" s="56"/>
      <c r="D230" s="56"/>
      <c r="E230" s="56"/>
      <c r="F230" s="56"/>
      <c r="G230" s="56"/>
      <c r="H230" s="56"/>
      <c r="I230" s="56"/>
      <c r="J230" s="5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6"/>
      <c r="B231" s="56"/>
      <c r="C231" s="56"/>
      <c r="D231" s="56"/>
      <c r="E231" s="56"/>
      <c r="F231" s="56"/>
      <c r="G231" s="56"/>
      <c r="H231" s="56"/>
      <c r="I231" s="56"/>
      <c r="J231" s="5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6"/>
      <c r="B232" s="56"/>
      <c r="C232" s="56"/>
      <c r="D232" s="56"/>
      <c r="E232" s="56"/>
      <c r="F232" s="56"/>
      <c r="G232" s="56"/>
      <c r="H232" s="56"/>
      <c r="I232" s="56"/>
      <c r="J232" s="5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6"/>
      <c r="B233" s="56"/>
      <c r="C233" s="56"/>
      <c r="D233" s="56"/>
      <c r="E233" s="56"/>
      <c r="F233" s="56"/>
      <c r="G233" s="56"/>
      <c r="H233" s="56"/>
      <c r="I233" s="56"/>
      <c r="J233" s="5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6"/>
      <c r="B234" s="56"/>
      <c r="C234" s="56"/>
      <c r="D234" s="56"/>
      <c r="E234" s="56"/>
      <c r="F234" s="56"/>
      <c r="G234" s="56"/>
      <c r="H234" s="56"/>
      <c r="I234" s="56"/>
      <c r="J234" s="5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6"/>
      <c r="B235" s="56"/>
      <c r="C235" s="56"/>
      <c r="D235" s="56"/>
      <c r="E235" s="56"/>
      <c r="F235" s="56"/>
      <c r="G235" s="56"/>
      <c r="H235" s="56"/>
      <c r="I235" s="56"/>
      <c r="J235" s="5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6"/>
      <c r="B236" s="56"/>
      <c r="C236" s="56"/>
      <c r="D236" s="56"/>
      <c r="E236" s="56"/>
      <c r="F236" s="56"/>
      <c r="G236" s="56"/>
      <c r="H236" s="56"/>
      <c r="I236" s="56"/>
      <c r="J236" s="5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6"/>
      <c r="B237" s="56"/>
      <c r="C237" s="56"/>
      <c r="D237" s="56"/>
      <c r="E237" s="56"/>
      <c r="F237" s="56"/>
      <c r="G237" s="56"/>
      <c r="H237" s="56"/>
      <c r="I237" s="56"/>
      <c r="J237" s="56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6"/>
      <c r="B238" s="56"/>
      <c r="C238" s="56"/>
      <c r="D238" s="56"/>
      <c r="E238" s="56"/>
      <c r="F238" s="56"/>
      <c r="G238" s="56"/>
      <c r="H238" s="56"/>
      <c r="I238" s="56"/>
      <c r="J238" s="56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6"/>
      <c r="B239" s="56"/>
      <c r="C239" s="56"/>
      <c r="D239" s="56"/>
      <c r="E239" s="56"/>
      <c r="F239" s="56"/>
      <c r="G239" s="56"/>
      <c r="H239" s="56"/>
      <c r="I239" s="56"/>
      <c r="J239" s="5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6"/>
      <c r="B240" s="56"/>
      <c r="C240" s="56"/>
      <c r="D240" s="56"/>
      <c r="E240" s="56"/>
      <c r="F240" s="56"/>
      <c r="G240" s="56"/>
      <c r="H240" s="56"/>
      <c r="I240" s="56"/>
      <c r="J240" s="5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6"/>
      <c r="B241" s="56"/>
      <c r="C241" s="56"/>
      <c r="D241" s="56"/>
      <c r="E241" s="56"/>
      <c r="F241" s="56"/>
      <c r="G241" s="56"/>
      <c r="H241" s="56"/>
      <c r="I241" s="56"/>
      <c r="J241" s="56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6"/>
      <c r="B242" s="56"/>
      <c r="C242" s="56"/>
      <c r="D242" s="56"/>
      <c r="E242" s="56"/>
      <c r="F242" s="56"/>
      <c r="G242" s="56"/>
      <c r="H242" s="56"/>
      <c r="I242" s="56"/>
      <c r="J242" s="5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6"/>
      <c r="B243" s="56"/>
      <c r="C243" s="56"/>
      <c r="D243" s="56"/>
      <c r="E243" s="56"/>
      <c r="F243" s="56"/>
      <c r="G243" s="56"/>
      <c r="H243" s="56"/>
      <c r="I243" s="56"/>
      <c r="J243" s="5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6"/>
      <c r="B244" s="56"/>
      <c r="C244" s="56"/>
      <c r="D244" s="56"/>
      <c r="E244" s="56"/>
      <c r="F244" s="56"/>
      <c r="G244" s="56"/>
      <c r="H244" s="56"/>
      <c r="I244" s="56"/>
      <c r="J244" s="5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6"/>
      <c r="B245" s="56"/>
      <c r="C245" s="56"/>
      <c r="D245" s="56"/>
      <c r="E245" s="56"/>
      <c r="F245" s="56"/>
      <c r="G245" s="56"/>
      <c r="H245" s="56"/>
      <c r="I245" s="56"/>
      <c r="J245" s="56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6"/>
      <c r="B246" s="56"/>
      <c r="C246" s="56"/>
      <c r="D246" s="56"/>
      <c r="E246" s="56"/>
      <c r="F246" s="56"/>
      <c r="G246" s="56"/>
      <c r="H246" s="56"/>
      <c r="I246" s="56"/>
      <c r="J246" s="56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6"/>
      <c r="B247" s="56"/>
      <c r="C247" s="56"/>
      <c r="D247" s="56"/>
      <c r="E247" s="56"/>
      <c r="F247" s="56"/>
      <c r="G247" s="56"/>
      <c r="H247" s="56"/>
      <c r="I247" s="56"/>
      <c r="J247" s="56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6"/>
      <c r="B248" s="56"/>
      <c r="C248" s="56"/>
      <c r="D248" s="56"/>
      <c r="E248" s="56"/>
      <c r="F248" s="56"/>
      <c r="G248" s="56"/>
      <c r="H248" s="56"/>
      <c r="I248" s="56"/>
      <c r="J248" s="5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6"/>
      <c r="B249" s="56"/>
      <c r="C249" s="56"/>
      <c r="D249" s="56"/>
      <c r="E249" s="56"/>
      <c r="F249" s="56"/>
      <c r="G249" s="56"/>
      <c r="H249" s="56"/>
      <c r="I249" s="56"/>
      <c r="J249" s="5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6"/>
      <c r="B250" s="56"/>
      <c r="C250" s="56"/>
      <c r="D250" s="56"/>
      <c r="E250" s="56"/>
      <c r="F250" s="56"/>
      <c r="G250" s="56"/>
      <c r="H250" s="56"/>
      <c r="I250" s="56"/>
      <c r="J250" s="5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6"/>
      <c r="B251" s="56"/>
      <c r="C251" s="56"/>
      <c r="D251" s="56"/>
      <c r="E251" s="56"/>
      <c r="F251" s="56"/>
      <c r="G251" s="56"/>
      <c r="H251" s="56"/>
      <c r="I251" s="56"/>
      <c r="J251" s="5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6"/>
      <c r="B252" s="56"/>
      <c r="C252" s="56"/>
      <c r="D252" s="56"/>
      <c r="E252" s="56"/>
      <c r="F252" s="56"/>
      <c r="G252" s="56"/>
      <c r="H252" s="56"/>
      <c r="I252" s="56"/>
      <c r="J252" s="5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6"/>
      <c r="B253" s="56"/>
      <c r="C253" s="56"/>
      <c r="D253" s="56"/>
      <c r="E253" s="56"/>
      <c r="F253" s="56"/>
      <c r="G253" s="56"/>
      <c r="H253" s="56"/>
      <c r="I253" s="56"/>
      <c r="J253" s="5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6"/>
      <c r="B254" s="56"/>
      <c r="C254" s="56"/>
      <c r="D254" s="56"/>
      <c r="E254" s="56"/>
      <c r="F254" s="56"/>
      <c r="G254" s="56"/>
      <c r="H254" s="56"/>
      <c r="I254" s="56"/>
      <c r="J254" s="5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6"/>
      <c r="B255" s="56"/>
      <c r="C255" s="56"/>
      <c r="D255" s="56"/>
      <c r="E255" s="56"/>
      <c r="F255" s="56"/>
      <c r="G255" s="56"/>
      <c r="H255" s="56"/>
      <c r="I255" s="56"/>
      <c r="J255" s="5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6"/>
      <c r="B256" s="56"/>
      <c r="C256" s="56"/>
      <c r="D256" s="56"/>
      <c r="E256" s="56"/>
      <c r="F256" s="56"/>
      <c r="G256" s="56"/>
      <c r="H256" s="56"/>
      <c r="I256" s="56"/>
      <c r="J256" s="5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6"/>
      <c r="B257" s="56"/>
      <c r="C257" s="56"/>
      <c r="D257" s="56"/>
      <c r="E257" s="56"/>
      <c r="F257" s="56"/>
      <c r="G257" s="56"/>
      <c r="H257" s="56"/>
      <c r="I257" s="56"/>
      <c r="J257" s="5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6"/>
      <c r="B258" s="56"/>
      <c r="C258" s="56"/>
      <c r="D258" s="56"/>
      <c r="E258" s="56"/>
      <c r="F258" s="56"/>
      <c r="G258" s="56"/>
      <c r="H258" s="56"/>
      <c r="I258" s="56"/>
      <c r="J258" s="5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6"/>
      <c r="B259" s="56"/>
      <c r="C259" s="56"/>
      <c r="D259" s="56"/>
      <c r="E259" s="56"/>
      <c r="F259" s="56"/>
      <c r="G259" s="56"/>
      <c r="H259" s="56"/>
      <c r="I259" s="56"/>
      <c r="J259" s="5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6"/>
      <c r="B260" s="56"/>
      <c r="C260" s="56"/>
      <c r="D260" s="56"/>
      <c r="E260" s="56"/>
      <c r="F260" s="56"/>
      <c r="G260" s="56"/>
      <c r="H260" s="56"/>
      <c r="I260" s="56"/>
      <c r="J260" s="56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6"/>
      <c r="B261" s="56"/>
      <c r="C261" s="56"/>
      <c r="D261" s="56"/>
      <c r="E261" s="56"/>
      <c r="F261" s="56"/>
      <c r="G261" s="56"/>
      <c r="H261" s="56"/>
      <c r="I261" s="56"/>
      <c r="J261" s="56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6"/>
      <c r="B262" s="56"/>
      <c r="C262" s="56"/>
      <c r="D262" s="56"/>
      <c r="E262" s="56"/>
      <c r="F262" s="56"/>
      <c r="G262" s="56"/>
      <c r="H262" s="56"/>
      <c r="I262" s="56"/>
      <c r="J262" s="56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6"/>
      <c r="B263" s="56"/>
      <c r="C263" s="56"/>
      <c r="D263" s="56"/>
      <c r="E263" s="56"/>
      <c r="F263" s="56"/>
      <c r="G263" s="56"/>
      <c r="H263" s="56"/>
      <c r="I263" s="56"/>
      <c r="J263" s="56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6"/>
      <c r="B264" s="56"/>
      <c r="C264" s="56"/>
      <c r="D264" s="56"/>
      <c r="E264" s="56"/>
      <c r="F264" s="56"/>
      <c r="G264" s="56"/>
      <c r="H264" s="56"/>
      <c r="I264" s="56"/>
      <c r="J264" s="56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6"/>
      <c r="B265" s="56"/>
      <c r="C265" s="56"/>
      <c r="D265" s="56"/>
      <c r="E265" s="56"/>
      <c r="F265" s="56"/>
      <c r="G265" s="56"/>
      <c r="H265" s="56"/>
      <c r="I265" s="56"/>
      <c r="J265" s="5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6"/>
      <c r="B266" s="56"/>
      <c r="C266" s="56"/>
      <c r="D266" s="56"/>
      <c r="E266" s="56"/>
      <c r="F266" s="56"/>
      <c r="G266" s="56"/>
      <c r="H266" s="56"/>
      <c r="I266" s="56"/>
      <c r="J266" s="56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6"/>
      <c r="B267" s="56"/>
      <c r="C267" s="56"/>
      <c r="D267" s="56"/>
      <c r="E267" s="56"/>
      <c r="F267" s="56"/>
      <c r="G267" s="56"/>
      <c r="H267" s="56"/>
      <c r="I267" s="56"/>
      <c r="J267" s="56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6"/>
      <c r="B268" s="56"/>
      <c r="C268" s="56"/>
      <c r="D268" s="56"/>
      <c r="E268" s="56"/>
      <c r="F268" s="56"/>
      <c r="G268" s="56"/>
      <c r="H268" s="56"/>
      <c r="I268" s="56"/>
      <c r="J268" s="56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6"/>
      <c r="B269" s="56"/>
      <c r="C269" s="56"/>
      <c r="D269" s="56"/>
      <c r="E269" s="56"/>
      <c r="F269" s="56"/>
      <c r="G269" s="56"/>
      <c r="H269" s="56"/>
      <c r="I269" s="56"/>
      <c r="J269" s="56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6"/>
      <c r="B270" s="56"/>
      <c r="C270" s="56"/>
      <c r="D270" s="56"/>
      <c r="E270" s="56"/>
      <c r="F270" s="56"/>
      <c r="G270" s="56"/>
      <c r="H270" s="56"/>
      <c r="I270" s="56"/>
      <c r="J270" s="56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6"/>
      <c r="B271" s="56"/>
      <c r="C271" s="56"/>
      <c r="D271" s="56"/>
      <c r="E271" s="56"/>
      <c r="F271" s="56"/>
      <c r="G271" s="56"/>
      <c r="H271" s="56"/>
      <c r="I271" s="56"/>
      <c r="J271" s="56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6"/>
      <c r="B272" s="56"/>
      <c r="C272" s="56"/>
      <c r="D272" s="56"/>
      <c r="E272" s="56"/>
      <c r="F272" s="56"/>
      <c r="G272" s="56"/>
      <c r="H272" s="56"/>
      <c r="I272" s="56"/>
      <c r="J272" s="56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6"/>
      <c r="B273" s="56"/>
      <c r="C273" s="56"/>
      <c r="D273" s="56"/>
      <c r="E273" s="56"/>
      <c r="F273" s="56"/>
      <c r="G273" s="56"/>
      <c r="H273" s="56"/>
      <c r="I273" s="56"/>
      <c r="J273" s="56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6"/>
      <c r="B274" s="56"/>
      <c r="C274" s="56"/>
      <c r="D274" s="56"/>
      <c r="E274" s="56"/>
      <c r="F274" s="56"/>
      <c r="G274" s="56"/>
      <c r="H274" s="56"/>
      <c r="I274" s="56"/>
      <c r="J274" s="56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6"/>
      <c r="B275" s="56"/>
      <c r="C275" s="56"/>
      <c r="D275" s="56"/>
      <c r="E275" s="56"/>
      <c r="F275" s="56"/>
      <c r="G275" s="56"/>
      <c r="H275" s="56"/>
      <c r="I275" s="56"/>
      <c r="J275" s="56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6"/>
      <c r="B276" s="56"/>
      <c r="C276" s="56"/>
      <c r="D276" s="56"/>
      <c r="E276" s="56"/>
      <c r="F276" s="56"/>
      <c r="G276" s="56"/>
      <c r="H276" s="56"/>
      <c r="I276" s="56"/>
      <c r="J276" s="56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6"/>
      <c r="B277" s="56"/>
      <c r="C277" s="56"/>
      <c r="D277" s="56"/>
      <c r="E277" s="56"/>
      <c r="F277" s="56"/>
      <c r="G277" s="56"/>
      <c r="H277" s="56"/>
      <c r="I277" s="56"/>
      <c r="J277" s="56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6"/>
      <c r="B278" s="56"/>
      <c r="C278" s="56"/>
      <c r="D278" s="56"/>
      <c r="E278" s="56"/>
      <c r="F278" s="56"/>
      <c r="G278" s="56"/>
      <c r="H278" s="56"/>
      <c r="I278" s="56"/>
      <c r="J278" s="56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6"/>
      <c r="B279" s="56"/>
      <c r="C279" s="56"/>
      <c r="D279" s="56"/>
      <c r="E279" s="56"/>
      <c r="F279" s="56"/>
      <c r="G279" s="56"/>
      <c r="H279" s="56"/>
      <c r="I279" s="56"/>
      <c r="J279" s="56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6"/>
      <c r="B280" s="56"/>
      <c r="C280" s="56"/>
      <c r="D280" s="56"/>
      <c r="E280" s="56"/>
      <c r="F280" s="56"/>
      <c r="G280" s="56"/>
      <c r="H280" s="56"/>
      <c r="I280" s="56"/>
      <c r="J280" s="56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6"/>
      <c r="B281" s="56"/>
      <c r="C281" s="56"/>
      <c r="D281" s="56"/>
      <c r="E281" s="56"/>
      <c r="F281" s="56"/>
      <c r="G281" s="56"/>
      <c r="H281" s="56"/>
      <c r="I281" s="56"/>
      <c r="J281" s="56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6"/>
      <c r="B282" s="56"/>
      <c r="C282" s="56"/>
      <c r="D282" s="56"/>
      <c r="E282" s="56"/>
      <c r="F282" s="56"/>
      <c r="G282" s="56"/>
      <c r="H282" s="56"/>
      <c r="I282" s="56"/>
      <c r="J282" s="56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6"/>
      <c r="B283" s="56"/>
      <c r="C283" s="56"/>
      <c r="D283" s="56"/>
      <c r="E283" s="56"/>
      <c r="F283" s="56"/>
      <c r="G283" s="56"/>
      <c r="H283" s="56"/>
      <c r="I283" s="56"/>
      <c r="J283" s="56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6"/>
      <c r="B284" s="56"/>
      <c r="C284" s="56"/>
      <c r="D284" s="56"/>
      <c r="E284" s="56"/>
      <c r="F284" s="56"/>
      <c r="G284" s="56"/>
      <c r="H284" s="56"/>
      <c r="I284" s="56"/>
      <c r="J284" s="56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6"/>
      <c r="B285" s="56"/>
      <c r="C285" s="56"/>
      <c r="D285" s="56"/>
      <c r="E285" s="56"/>
      <c r="F285" s="56"/>
      <c r="G285" s="56"/>
      <c r="H285" s="56"/>
      <c r="I285" s="56"/>
      <c r="J285" s="56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6"/>
      <c r="B286" s="56"/>
      <c r="C286" s="56"/>
      <c r="D286" s="56"/>
      <c r="E286" s="56"/>
      <c r="F286" s="56"/>
      <c r="G286" s="56"/>
      <c r="H286" s="56"/>
      <c r="I286" s="56"/>
      <c r="J286" s="56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6"/>
      <c r="B287" s="56"/>
      <c r="C287" s="56"/>
      <c r="D287" s="56"/>
      <c r="E287" s="56"/>
      <c r="F287" s="56"/>
      <c r="G287" s="56"/>
      <c r="H287" s="56"/>
      <c r="I287" s="56"/>
      <c r="J287" s="56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6"/>
      <c r="B288" s="56"/>
      <c r="C288" s="56"/>
      <c r="D288" s="56"/>
      <c r="E288" s="56"/>
      <c r="F288" s="56"/>
      <c r="G288" s="56"/>
      <c r="H288" s="56"/>
      <c r="I288" s="56"/>
      <c r="J288" s="56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6"/>
      <c r="B289" s="56"/>
      <c r="C289" s="56"/>
      <c r="D289" s="56"/>
      <c r="E289" s="56"/>
      <c r="F289" s="56"/>
      <c r="G289" s="56"/>
      <c r="H289" s="56"/>
      <c r="I289" s="56"/>
      <c r="J289" s="56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6"/>
      <c r="B290" s="56"/>
      <c r="C290" s="56"/>
      <c r="D290" s="56"/>
      <c r="E290" s="56"/>
      <c r="F290" s="56"/>
      <c r="G290" s="56"/>
      <c r="H290" s="56"/>
      <c r="I290" s="56"/>
      <c r="J290" s="56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6"/>
      <c r="B291" s="56"/>
      <c r="C291" s="56"/>
      <c r="D291" s="56"/>
      <c r="E291" s="56"/>
      <c r="F291" s="56"/>
      <c r="G291" s="56"/>
      <c r="H291" s="56"/>
      <c r="I291" s="56"/>
      <c r="J291" s="56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6"/>
      <c r="B292" s="56"/>
      <c r="C292" s="56"/>
      <c r="D292" s="56"/>
      <c r="E292" s="56"/>
      <c r="F292" s="56"/>
      <c r="G292" s="56"/>
      <c r="H292" s="56"/>
      <c r="I292" s="56"/>
      <c r="J292" s="56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6"/>
      <c r="B293" s="56"/>
      <c r="C293" s="56"/>
      <c r="D293" s="56"/>
      <c r="E293" s="56"/>
      <c r="F293" s="56"/>
      <c r="G293" s="56"/>
      <c r="H293" s="56"/>
      <c r="I293" s="56"/>
      <c r="J293" s="56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6"/>
      <c r="B294" s="56"/>
      <c r="C294" s="56"/>
      <c r="D294" s="56"/>
      <c r="E294" s="56"/>
      <c r="F294" s="56"/>
      <c r="G294" s="56"/>
      <c r="H294" s="56"/>
      <c r="I294" s="56"/>
      <c r="J294" s="56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6"/>
      <c r="B295" s="56"/>
      <c r="C295" s="56"/>
      <c r="D295" s="56"/>
      <c r="E295" s="56"/>
      <c r="F295" s="56"/>
      <c r="G295" s="56"/>
      <c r="H295" s="56"/>
      <c r="I295" s="56"/>
      <c r="J295" s="56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6"/>
      <c r="B296" s="56"/>
      <c r="C296" s="56"/>
      <c r="D296" s="56"/>
      <c r="E296" s="56"/>
      <c r="F296" s="56"/>
      <c r="G296" s="56"/>
      <c r="H296" s="56"/>
      <c r="I296" s="56"/>
      <c r="J296" s="56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6"/>
      <c r="B297" s="56"/>
      <c r="C297" s="56"/>
      <c r="D297" s="56"/>
      <c r="E297" s="56"/>
      <c r="F297" s="56"/>
      <c r="G297" s="56"/>
      <c r="H297" s="56"/>
      <c r="I297" s="56"/>
      <c r="J297" s="56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6"/>
      <c r="B298" s="56"/>
      <c r="C298" s="56"/>
      <c r="D298" s="56"/>
      <c r="E298" s="56"/>
      <c r="F298" s="56"/>
      <c r="G298" s="56"/>
      <c r="H298" s="56"/>
      <c r="I298" s="56"/>
      <c r="J298" s="56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6"/>
      <c r="B299" s="56"/>
      <c r="C299" s="56"/>
      <c r="D299" s="56"/>
      <c r="E299" s="56"/>
      <c r="F299" s="56"/>
      <c r="G299" s="56"/>
      <c r="H299" s="56"/>
      <c r="I299" s="56"/>
      <c r="J299" s="56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6"/>
      <c r="B300" s="56"/>
      <c r="C300" s="56"/>
      <c r="D300" s="56"/>
      <c r="E300" s="56"/>
      <c r="F300" s="56"/>
      <c r="G300" s="56"/>
      <c r="H300" s="56"/>
      <c r="I300" s="56"/>
      <c r="J300" s="56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6"/>
      <c r="B301" s="56"/>
      <c r="C301" s="56"/>
      <c r="D301" s="56"/>
      <c r="E301" s="56"/>
      <c r="F301" s="56"/>
      <c r="G301" s="56"/>
      <c r="H301" s="56"/>
      <c r="I301" s="56"/>
      <c r="J301" s="56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6"/>
      <c r="B302" s="56"/>
      <c r="C302" s="56"/>
      <c r="D302" s="56"/>
      <c r="E302" s="56"/>
      <c r="F302" s="56"/>
      <c r="G302" s="56"/>
      <c r="H302" s="56"/>
      <c r="I302" s="56"/>
      <c r="J302" s="56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6"/>
      <c r="B303" s="56"/>
      <c r="C303" s="56"/>
      <c r="D303" s="56"/>
      <c r="E303" s="56"/>
      <c r="F303" s="56"/>
      <c r="G303" s="56"/>
      <c r="H303" s="56"/>
      <c r="I303" s="56"/>
      <c r="J303" s="56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6"/>
      <c r="B304" s="56"/>
      <c r="C304" s="56"/>
      <c r="D304" s="56"/>
      <c r="E304" s="56"/>
      <c r="F304" s="56"/>
      <c r="G304" s="56"/>
      <c r="H304" s="56"/>
      <c r="I304" s="56"/>
      <c r="J304" s="56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6"/>
      <c r="B305" s="56"/>
      <c r="C305" s="56"/>
      <c r="D305" s="56"/>
      <c r="E305" s="56"/>
      <c r="F305" s="56"/>
      <c r="G305" s="56"/>
      <c r="H305" s="56"/>
      <c r="I305" s="56"/>
      <c r="J305" s="56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6"/>
      <c r="B306" s="56"/>
      <c r="C306" s="56"/>
      <c r="D306" s="56"/>
      <c r="E306" s="56"/>
      <c r="F306" s="56"/>
      <c r="G306" s="56"/>
      <c r="H306" s="56"/>
      <c r="I306" s="56"/>
      <c r="J306" s="56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6"/>
      <c r="B307" s="56"/>
      <c r="C307" s="56"/>
      <c r="D307" s="56"/>
      <c r="E307" s="56"/>
      <c r="F307" s="56"/>
      <c r="G307" s="56"/>
      <c r="H307" s="56"/>
      <c r="I307" s="56"/>
      <c r="J307" s="56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6"/>
      <c r="B308" s="56"/>
      <c r="C308" s="56"/>
      <c r="D308" s="56"/>
      <c r="E308" s="56"/>
      <c r="F308" s="56"/>
      <c r="G308" s="56"/>
      <c r="H308" s="56"/>
      <c r="I308" s="56"/>
      <c r="J308" s="56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6"/>
      <c r="B309" s="56"/>
      <c r="C309" s="56"/>
      <c r="D309" s="56"/>
      <c r="E309" s="56"/>
      <c r="F309" s="56"/>
      <c r="G309" s="56"/>
      <c r="H309" s="56"/>
      <c r="I309" s="56"/>
      <c r="J309" s="56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6"/>
      <c r="B310" s="56"/>
      <c r="C310" s="56"/>
      <c r="D310" s="56"/>
      <c r="E310" s="56"/>
      <c r="F310" s="56"/>
      <c r="G310" s="56"/>
      <c r="H310" s="56"/>
      <c r="I310" s="56"/>
      <c r="J310" s="56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6"/>
      <c r="B311" s="56"/>
      <c r="C311" s="56"/>
      <c r="D311" s="56"/>
      <c r="E311" s="56"/>
      <c r="F311" s="56"/>
      <c r="G311" s="56"/>
      <c r="H311" s="56"/>
      <c r="I311" s="56"/>
      <c r="J311" s="56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6"/>
      <c r="B312" s="56"/>
      <c r="C312" s="56"/>
      <c r="D312" s="56"/>
      <c r="E312" s="56"/>
      <c r="F312" s="56"/>
      <c r="G312" s="56"/>
      <c r="H312" s="56"/>
      <c r="I312" s="56"/>
      <c r="J312" s="56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6"/>
      <c r="B313" s="56"/>
      <c r="C313" s="56"/>
      <c r="D313" s="56"/>
      <c r="E313" s="56"/>
      <c r="F313" s="56"/>
      <c r="G313" s="56"/>
      <c r="H313" s="56"/>
      <c r="I313" s="56"/>
      <c r="J313" s="56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6"/>
      <c r="B314" s="56"/>
      <c r="C314" s="56"/>
      <c r="D314" s="56"/>
      <c r="E314" s="56"/>
      <c r="F314" s="56"/>
      <c r="G314" s="56"/>
      <c r="H314" s="56"/>
      <c r="I314" s="56"/>
      <c r="J314" s="56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6"/>
      <c r="B315" s="56"/>
      <c r="C315" s="56"/>
      <c r="D315" s="56"/>
      <c r="E315" s="56"/>
      <c r="F315" s="56"/>
      <c r="G315" s="56"/>
      <c r="H315" s="56"/>
      <c r="I315" s="56"/>
      <c r="J315" s="56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6"/>
      <c r="B316" s="56"/>
      <c r="C316" s="56"/>
      <c r="D316" s="56"/>
      <c r="E316" s="56"/>
      <c r="F316" s="56"/>
      <c r="G316" s="56"/>
      <c r="H316" s="56"/>
      <c r="I316" s="56"/>
      <c r="J316" s="56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6"/>
      <c r="B317" s="56"/>
      <c r="C317" s="56"/>
      <c r="D317" s="56"/>
      <c r="E317" s="56"/>
      <c r="F317" s="56"/>
      <c r="G317" s="56"/>
      <c r="H317" s="56"/>
      <c r="I317" s="56"/>
      <c r="J317" s="56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6"/>
      <c r="B318" s="56"/>
      <c r="C318" s="56"/>
      <c r="D318" s="56"/>
      <c r="E318" s="56"/>
      <c r="F318" s="56"/>
      <c r="G318" s="56"/>
      <c r="H318" s="56"/>
      <c r="I318" s="56"/>
      <c r="J318" s="56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6"/>
      <c r="B319" s="56"/>
      <c r="C319" s="56"/>
      <c r="D319" s="56"/>
      <c r="E319" s="56"/>
      <c r="F319" s="56"/>
      <c r="G319" s="56"/>
      <c r="H319" s="56"/>
      <c r="I319" s="56"/>
      <c r="J319" s="56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6"/>
      <c r="B320" s="56"/>
      <c r="C320" s="56"/>
      <c r="D320" s="56"/>
      <c r="E320" s="56"/>
      <c r="F320" s="56"/>
      <c r="G320" s="56"/>
      <c r="H320" s="56"/>
      <c r="I320" s="56"/>
      <c r="J320" s="56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6"/>
      <c r="B321" s="56"/>
      <c r="C321" s="56"/>
      <c r="D321" s="56"/>
      <c r="E321" s="56"/>
      <c r="F321" s="56"/>
      <c r="G321" s="56"/>
      <c r="H321" s="56"/>
      <c r="I321" s="56"/>
      <c r="J321" s="56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6"/>
      <c r="B322" s="56"/>
      <c r="C322" s="56"/>
      <c r="D322" s="56"/>
      <c r="E322" s="56"/>
      <c r="F322" s="56"/>
      <c r="G322" s="56"/>
      <c r="H322" s="56"/>
      <c r="I322" s="56"/>
      <c r="J322" s="56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6"/>
      <c r="B323" s="56"/>
      <c r="C323" s="56"/>
      <c r="D323" s="56"/>
      <c r="E323" s="56"/>
      <c r="F323" s="56"/>
      <c r="G323" s="56"/>
      <c r="H323" s="56"/>
      <c r="I323" s="56"/>
      <c r="J323" s="56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6"/>
      <c r="B324" s="56"/>
      <c r="C324" s="56"/>
      <c r="D324" s="56"/>
      <c r="E324" s="56"/>
      <c r="F324" s="56"/>
      <c r="G324" s="56"/>
      <c r="H324" s="56"/>
      <c r="I324" s="56"/>
      <c r="J324" s="56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6"/>
      <c r="B325" s="56"/>
      <c r="C325" s="56"/>
      <c r="D325" s="56"/>
      <c r="E325" s="56"/>
      <c r="F325" s="56"/>
      <c r="G325" s="56"/>
      <c r="H325" s="56"/>
      <c r="I325" s="56"/>
      <c r="J325" s="56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6"/>
      <c r="B326" s="56"/>
      <c r="C326" s="56"/>
      <c r="D326" s="56"/>
      <c r="E326" s="56"/>
      <c r="F326" s="56"/>
      <c r="G326" s="56"/>
      <c r="H326" s="56"/>
      <c r="I326" s="56"/>
      <c r="J326" s="56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6"/>
      <c r="B327" s="56"/>
      <c r="C327" s="56"/>
      <c r="D327" s="56"/>
      <c r="E327" s="56"/>
      <c r="F327" s="56"/>
      <c r="G327" s="56"/>
      <c r="H327" s="56"/>
      <c r="I327" s="56"/>
      <c r="J327" s="56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6"/>
      <c r="B328" s="56"/>
      <c r="C328" s="56"/>
      <c r="D328" s="56"/>
      <c r="E328" s="56"/>
      <c r="F328" s="56"/>
      <c r="G328" s="56"/>
      <c r="H328" s="56"/>
      <c r="I328" s="56"/>
      <c r="J328" s="56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6"/>
      <c r="B329" s="56"/>
      <c r="C329" s="56"/>
      <c r="D329" s="56"/>
      <c r="E329" s="56"/>
      <c r="F329" s="56"/>
      <c r="G329" s="56"/>
      <c r="H329" s="56"/>
      <c r="I329" s="56"/>
      <c r="J329" s="56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6"/>
      <c r="B330" s="56"/>
      <c r="C330" s="56"/>
      <c r="D330" s="56"/>
      <c r="E330" s="56"/>
      <c r="F330" s="56"/>
      <c r="G330" s="56"/>
      <c r="H330" s="56"/>
      <c r="I330" s="56"/>
      <c r="J330" s="56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6"/>
      <c r="B331" s="56"/>
      <c r="C331" s="56"/>
      <c r="D331" s="56"/>
      <c r="E331" s="56"/>
      <c r="F331" s="56"/>
      <c r="G331" s="56"/>
      <c r="H331" s="56"/>
      <c r="I331" s="56"/>
      <c r="J331" s="56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6"/>
      <c r="B332" s="56"/>
      <c r="C332" s="56"/>
      <c r="D332" s="56"/>
      <c r="E332" s="56"/>
      <c r="F332" s="56"/>
      <c r="G332" s="56"/>
      <c r="H332" s="56"/>
      <c r="I332" s="56"/>
      <c r="J332" s="56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6"/>
      <c r="B333" s="56"/>
      <c r="C333" s="56"/>
      <c r="D333" s="56"/>
      <c r="E333" s="56"/>
      <c r="F333" s="56"/>
      <c r="G333" s="56"/>
      <c r="H333" s="56"/>
      <c r="I333" s="56"/>
      <c r="J333" s="56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6"/>
      <c r="B334" s="56"/>
      <c r="C334" s="56"/>
      <c r="D334" s="56"/>
      <c r="E334" s="56"/>
      <c r="F334" s="56"/>
      <c r="G334" s="56"/>
      <c r="H334" s="56"/>
      <c r="I334" s="56"/>
      <c r="J334" s="56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6"/>
      <c r="B335" s="56"/>
      <c r="C335" s="56"/>
      <c r="D335" s="56"/>
      <c r="E335" s="56"/>
      <c r="F335" s="56"/>
      <c r="G335" s="56"/>
      <c r="H335" s="56"/>
      <c r="I335" s="56"/>
      <c r="J335" s="56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6"/>
      <c r="B336" s="56"/>
      <c r="C336" s="56"/>
      <c r="D336" s="56"/>
      <c r="E336" s="56"/>
      <c r="F336" s="56"/>
      <c r="G336" s="56"/>
      <c r="H336" s="56"/>
      <c r="I336" s="56"/>
      <c r="J336" s="56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6"/>
      <c r="B337" s="56"/>
      <c r="C337" s="56"/>
      <c r="D337" s="56"/>
      <c r="E337" s="56"/>
      <c r="F337" s="56"/>
      <c r="G337" s="56"/>
      <c r="H337" s="56"/>
      <c r="I337" s="56"/>
      <c r="J337" s="56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6"/>
      <c r="B338" s="56"/>
      <c r="C338" s="56"/>
      <c r="D338" s="56"/>
      <c r="E338" s="56"/>
      <c r="F338" s="56"/>
      <c r="G338" s="56"/>
      <c r="H338" s="56"/>
      <c r="I338" s="56"/>
      <c r="J338" s="56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6"/>
      <c r="B339" s="56"/>
      <c r="C339" s="56"/>
      <c r="D339" s="56"/>
      <c r="E339" s="56"/>
      <c r="F339" s="56"/>
      <c r="G339" s="56"/>
      <c r="H339" s="56"/>
      <c r="I339" s="56"/>
      <c r="J339" s="56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6"/>
      <c r="B340" s="56"/>
      <c r="C340" s="56"/>
      <c r="D340" s="56"/>
      <c r="E340" s="56"/>
      <c r="F340" s="56"/>
      <c r="G340" s="56"/>
      <c r="H340" s="56"/>
      <c r="I340" s="56"/>
      <c r="J340" s="56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6"/>
      <c r="B341" s="56"/>
      <c r="C341" s="56"/>
      <c r="D341" s="56"/>
      <c r="E341" s="56"/>
      <c r="F341" s="56"/>
      <c r="G341" s="56"/>
      <c r="H341" s="56"/>
      <c r="I341" s="56"/>
      <c r="J341" s="56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6"/>
      <c r="B342" s="56"/>
      <c r="C342" s="56"/>
      <c r="D342" s="56"/>
      <c r="E342" s="56"/>
      <c r="F342" s="56"/>
      <c r="G342" s="56"/>
      <c r="H342" s="56"/>
      <c r="I342" s="56"/>
      <c r="J342" s="56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6"/>
      <c r="B343" s="56"/>
      <c r="C343" s="56"/>
      <c r="D343" s="56"/>
      <c r="E343" s="56"/>
      <c r="F343" s="56"/>
      <c r="G343" s="56"/>
      <c r="H343" s="56"/>
      <c r="I343" s="56"/>
      <c r="J343" s="56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6"/>
      <c r="B344" s="56"/>
      <c r="C344" s="56"/>
      <c r="D344" s="56"/>
      <c r="E344" s="56"/>
      <c r="F344" s="56"/>
      <c r="G344" s="56"/>
      <c r="H344" s="56"/>
      <c r="I344" s="56"/>
      <c r="J344" s="56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6"/>
      <c r="B345" s="56"/>
      <c r="C345" s="56"/>
      <c r="D345" s="56"/>
      <c r="E345" s="56"/>
      <c r="F345" s="56"/>
      <c r="G345" s="56"/>
      <c r="H345" s="56"/>
      <c r="I345" s="56"/>
      <c r="J345" s="56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6"/>
      <c r="B346" s="56"/>
      <c r="C346" s="56"/>
      <c r="D346" s="56"/>
      <c r="E346" s="56"/>
      <c r="F346" s="56"/>
      <c r="G346" s="56"/>
      <c r="H346" s="56"/>
      <c r="I346" s="56"/>
      <c r="J346" s="56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6"/>
      <c r="B347" s="56"/>
      <c r="C347" s="56"/>
      <c r="D347" s="56"/>
      <c r="E347" s="56"/>
      <c r="F347" s="56"/>
      <c r="G347" s="56"/>
      <c r="H347" s="56"/>
      <c r="I347" s="56"/>
      <c r="J347" s="56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6"/>
      <c r="B348" s="56"/>
      <c r="C348" s="56"/>
      <c r="D348" s="56"/>
      <c r="E348" s="56"/>
      <c r="F348" s="56"/>
      <c r="G348" s="56"/>
      <c r="H348" s="56"/>
      <c r="I348" s="56"/>
      <c r="J348" s="56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6"/>
      <c r="B349" s="56"/>
      <c r="C349" s="56"/>
      <c r="D349" s="56"/>
      <c r="E349" s="56"/>
      <c r="F349" s="56"/>
      <c r="G349" s="56"/>
      <c r="H349" s="56"/>
      <c r="I349" s="56"/>
      <c r="J349" s="56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6"/>
      <c r="B350" s="56"/>
      <c r="C350" s="56"/>
      <c r="D350" s="56"/>
      <c r="E350" s="56"/>
      <c r="F350" s="56"/>
      <c r="G350" s="56"/>
      <c r="H350" s="56"/>
      <c r="I350" s="56"/>
      <c r="J350" s="56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6"/>
      <c r="B351" s="56"/>
      <c r="C351" s="56"/>
      <c r="D351" s="56"/>
      <c r="E351" s="56"/>
      <c r="F351" s="56"/>
      <c r="G351" s="56"/>
      <c r="H351" s="56"/>
      <c r="I351" s="56"/>
      <c r="J351" s="56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6"/>
      <c r="B352" s="56"/>
      <c r="C352" s="56"/>
      <c r="D352" s="56"/>
      <c r="E352" s="56"/>
      <c r="F352" s="56"/>
      <c r="G352" s="56"/>
      <c r="H352" s="56"/>
      <c r="I352" s="56"/>
      <c r="J352" s="56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6"/>
      <c r="B353" s="56"/>
      <c r="C353" s="56"/>
      <c r="D353" s="56"/>
      <c r="E353" s="56"/>
      <c r="F353" s="56"/>
      <c r="G353" s="56"/>
      <c r="H353" s="56"/>
      <c r="I353" s="56"/>
      <c r="J353" s="56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6"/>
      <c r="B354" s="56"/>
      <c r="C354" s="56"/>
      <c r="D354" s="56"/>
      <c r="E354" s="56"/>
      <c r="F354" s="56"/>
      <c r="G354" s="56"/>
      <c r="H354" s="56"/>
      <c r="I354" s="56"/>
      <c r="J354" s="56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6"/>
      <c r="B355" s="56"/>
      <c r="C355" s="56"/>
      <c r="D355" s="56"/>
      <c r="E355" s="56"/>
      <c r="F355" s="56"/>
      <c r="G355" s="56"/>
      <c r="H355" s="56"/>
      <c r="I355" s="56"/>
      <c r="J355" s="56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6"/>
      <c r="B356" s="56"/>
      <c r="C356" s="56"/>
      <c r="D356" s="56"/>
      <c r="E356" s="56"/>
      <c r="F356" s="56"/>
      <c r="G356" s="56"/>
      <c r="H356" s="56"/>
      <c r="I356" s="56"/>
      <c r="J356" s="56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6"/>
      <c r="B357" s="56"/>
      <c r="C357" s="56"/>
      <c r="D357" s="56"/>
      <c r="E357" s="56"/>
      <c r="F357" s="56"/>
      <c r="G357" s="56"/>
      <c r="H357" s="56"/>
      <c r="I357" s="56"/>
      <c r="J357" s="56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6"/>
      <c r="B358" s="56"/>
      <c r="C358" s="56"/>
      <c r="D358" s="56"/>
      <c r="E358" s="56"/>
      <c r="F358" s="56"/>
      <c r="G358" s="56"/>
      <c r="H358" s="56"/>
      <c r="I358" s="56"/>
      <c r="J358" s="56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6"/>
      <c r="B359" s="56"/>
      <c r="C359" s="56"/>
      <c r="D359" s="56"/>
      <c r="E359" s="56"/>
      <c r="F359" s="56"/>
      <c r="G359" s="56"/>
      <c r="H359" s="56"/>
      <c r="I359" s="56"/>
      <c r="J359" s="56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6"/>
      <c r="B360" s="56"/>
      <c r="C360" s="56"/>
      <c r="D360" s="56"/>
      <c r="E360" s="56"/>
      <c r="F360" s="56"/>
      <c r="G360" s="56"/>
      <c r="H360" s="56"/>
      <c r="I360" s="56"/>
      <c r="J360" s="56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6"/>
      <c r="B361" s="56"/>
      <c r="C361" s="56"/>
      <c r="D361" s="56"/>
      <c r="E361" s="56"/>
      <c r="F361" s="56"/>
      <c r="G361" s="56"/>
      <c r="H361" s="56"/>
      <c r="I361" s="56"/>
      <c r="J361" s="56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6"/>
      <c r="B362" s="56"/>
      <c r="C362" s="56"/>
      <c r="D362" s="56"/>
      <c r="E362" s="56"/>
      <c r="F362" s="56"/>
      <c r="G362" s="56"/>
      <c r="H362" s="56"/>
      <c r="I362" s="56"/>
      <c r="J362" s="56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6"/>
      <c r="B363" s="56"/>
      <c r="C363" s="56"/>
      <c r="D363" s="56"/>
      <c r="E363" s="56"/>
      <c r="F363" s="56"/>
      <c r="G363" s="56"/>
      <c r="H363" s="56"/>
      <c r="I363" s="56"/>
      <c r="J363" s="56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6"/>
      <c r="B364" s="56"/>
      <c r="C364" s="56"/>
      <c r="D364" s="56"/>
      <c r="E364" s="56"/>
      <c r="F364" s="56"/>
      <c r="G364" s="56"/>
      <c r="H364" s="56"/>
      <c r="I364" s="56"/>
      <c r="J364" s="56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6"/>
      <c r="B365" s="56"/>
      <c r="C365" s="56"/>
      <c r="D365" s="56"/>
      <c r="E365" s="56"/>
      <c r="F365" s="56"/>
      <c r="G365" s="56"/>
      <c r="H365" s="56"/>
      <c r="I365" s="56"/>
      <c r="J365" s="56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6"/>
      <c r="B366" s="56"/>
      <c r="C366" s="56"/>
      <c r="D366" s="56"/>
      <c r="E366" s="56"/>
      <c r="F366" s="56"/>
      <c r="G366" s="56"/>
      <c r="H366" s="56"/>
      <c r="I366" s="56"/>
      <c r="J366" s="56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6"/>
      <c r="B367" s="56"/>
      <c r="C367" s="56"/>
      <c r="D367" s="56"/>
      <c r="E367" s="56"/>
      <c r="F367" s="56"/>
      <c r="G367" s="56"/>
      <c r="H367" s="56"/>
      <c r="I367" s="56"/>
      <c r="J367" s="56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6"/>
      <c r="B368" s="56"/>
      <c r="C368" s="56"/>
      <c r="D368" s="56"/>
      <c r="E368" s="56"/>
      <c r="F368" s="56"/>
      <c r="G368" s="56"/>
      <c r="H368" s="56"/>
      <c r="I368" s="56"/>
      <c r="J368" s="56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6"/>
      <c r="B369" s="56"/>
      <c r="C369" s="56"/>
      <c r="D369" s="56"/>
      <c r="E369" s="56"/>
      <c r="F369" s="56"/>
      <c r="G369" s="56"/>
      <c r="H369" s="56"/>
      <c r="I369" s="56"/>
      <c r="J369" s="56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6"/>
      <c r="B370" s="56"/>
      <c r="C370" s="56"/>
      <c r="D370" s="56"/>
      <c r="E370" s="56"/>
      <c r="F370" s="56"/>
      <c r="G370" s="56"/>
      <c r="H370" s="56"/>
      <c r="I370" s="56"/>
      <c r="J370" s="56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6"/>
      <c r="B371" s="56"/>
      <c r="C371" s="56"/>
      <c r="D371" s="56"/>
      <c r="E371" s="56"/>
      <c r="F371" s="56"/>
      <c r="G371" s="56"/>
      <c r="H371" s="56"/>
      <c r="I371" s="56"/>
      <c r="J371" s="56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6"/>
      <c r="B372" s="56"/>
      <c r="C372" s="56"/>
      <c r="D372" s="56"/>
      <c r="E372" s="56"/>
      <c r="F372" s="56"/>
      <c r="G372" s="56"/>
      <c r="H372" s="56"/>
      <c r="I372" s="56"/>
      <c r="J372" s="56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6"/>
      <c r="B373" s="56"/>
      <c r="C373" s="56"/>
      <c r="D373" s="56"/>
      <c r="E373" s="56"/>
      <c r="F373" s="56"/>
      <c r="G373" s="56"/>
      <c r="H373" s="56"/>
      <c r="I373" s="56"/>
      <c r="J373" s="56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6"/>
      <c r="B374" s="56"/>
      <c r="C374" s="56"/>
      <c r="D374" s="56"/>
      <c r="E374" s="56"/>
      <c r="F374" s="56"/>
      <c r="G374" s="56"/>
      <c r="H374" s="56"/>
      <c r="I374" s="56"/>
      <c r="J374" s="56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6"/>
      <c r="B375" s="56"/>
      <c r="C375" s="56"/>
      <c r="D375" s="56"/>
      <c r="E375" s="56"/>
      <c r="F375" s="56"/>
      <c r="G375" s="56"/>
      <c r="H375" s="56"/>
      <c r="I375" s="56"/>
      <c r="J375" s="56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6"/>
      <c r="B376" s="56"/>
      <c r="C376" s="56"/>
      <c r="D376" s="56"/>
      <c r="E376" s="56"/>
      <c r="F376" s="56"/>
      <c r="G376" s="56"/>
      <c r="H376" s="56"/>
      <c r="I376" s="56"/>
      <c r="J376" s="56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6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6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6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6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6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6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6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6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6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6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6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6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6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6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6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6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6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6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6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6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6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6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6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6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6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6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6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6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6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6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6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6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6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6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6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6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6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6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6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6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6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6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6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6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6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6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6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6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6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6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6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6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6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6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6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6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6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6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6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6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6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6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6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6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6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6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6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6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6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6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6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6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6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6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6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6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6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6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6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6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6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6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6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6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6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6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6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6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6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6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6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6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6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6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6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6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6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6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6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6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6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6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6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6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6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6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6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6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6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6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6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6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6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6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6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6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6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6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05">
    <mergeCell ref="A44:A49"/>
    <mergeCell ref="A53:A60"/>
    <mergeCell ref="B57:B59"/>
    <mergeCell ref="A61:A71"/>
    <mergeCell ref="B61:B65"/>
    <mergeCell ref="B66:B68"/>
    <mergeCell ref="B69:B70"/>
    <mergeCell ref="A105:A111"/>
    <mergeCell ref="A112:A118"/>
    <mergeCell ref="A119:A128"/>
    <mergeCell ref="A133:A136"/>
    <mergeCell ref="A137:A143"/>
    <mergeCell ref="A144:A154"/>
    <mergeCell ref="A155:A164"/>
    <mergeCell ref="A165:A174"/>
    <mergeCell ref="A91:A96"/>
    <mergeCell ref="B91:B92"/>
    <mergeCell ref="B93:B94"/>
    <mergeCell ref="A97:A104"/>
    <mergeCell ref="B97:B99"/>
    <mergeCell ref="B101:B102"/>
    <mergeCell ref="B106:B109"/>
    <mergeCell ref="B140:B141"/>
    <mergeCell ref="B148:B150"/>
    <mergeCell ref="B151:B152"/>
    <mergeCell ref="B112:B115"/>
    <mergeCell ref="B120:B121"/>
    <mergeCell ref="B122:B123"/>
    <mergeCell ref="B124:B125"/>
    <mergeCell ref="B126:B127"/>
    <mergeCell ref="B133:B135"/>
    <mergeCell ref="B138:B139"/>
    <mergeCell ref="H93:H94"/>
    <mergeCell ref="I93:I94"/>
    <mergeCell ref="A81:A87"/>
    <mergeCell ref="B84:B86"/>
    <mergeCell ref="B87:H87"/>
    <mergeCell ref="A89:J89"/>
    <mergeCell ref="D91:D92"/>
    <mergeCell ref="E91:E92"/>
    <mergeCell ref="D93:D94"/>
    <mergeCell ref="J93:J94"/>
    <mergeCell ref="E93:E94"/>
    <mergeCell ref="F93:F94"/>
    <mergeCell ref="B96:H96"/>
    <mergeCell ref="E97:E99"/>
    <mergeCell ref="H97:H99"/>
    <mergeCell ref="J97:J99"/>
    <mergeCell ref="J101:J102"/>
    <mergeCell ref="E101:E102"/>
    <mergeCell ref="B104:H104"/>
    <mergeCell ref="B111:H111"/>
    <mergeCell ref="B118:H118"/>
    <mergeCell ref="D120:D121"/>
    <mergeCell ref="E120:E121"/>
    <mergeCell ref="E122:E123"/>
    <mergeCell ref="B128:H128"/>
    <mergeCell ref="D126:D127"/>
    <mergeCell ref="D148:D149"/>
    <mergeCell ref="D151:D152"/>
    <mergeCell ref="E151:E152"/>
    <mergeCell ref="F151:F152"/>
    <mergeCell ref="H148:H149"/>
    <mergeCell ref="B154:H154"/>
    <mergeCell ref="B164:H164"/>
    <mergeCell ref="B174:H174"/>
    <mergeCell ref="D122:D123"/>
    <mergeCell ref="D124:D125"/>
    <mergeCell ref="E124:E125"/>
    <mergeCell ref="E126:E127"/>
    <mergeCell ref="A131:J131"/>
    <mergeCell ref="B136:H136"/>
    <mergeCell ref="B143:H143"/>
    <mergeCell ref="A1:J1"/>
    <mergeCell ref="A3:A9"/>
    <mergeCell ref="B9:H9"/>
    <mergeCell ref="A10:A22"/>
    <mergeCell ref="B10:B11"/>
    <mergeCell ref="B22:H22"/>
    <mergeCell ref="A23:A33"/>
    <mergeCell ref="B33:H33"/>
    <mergeCell ref="B23:B25"/>
    <mergeCell ref="D23:D25"/>
    <mergeCell ref="A34:A43"/>
    <mergeCell ref="B43:H43"/>
    <mergeCell ref="B45:B47"/>
    <mergeCell ref="B49:H49"/>
    <mergeCell ref="A51:J51"/>
    <mergeCell ref="D69:D70"/>
    <mergeCell ref="B71:H71"/>
    <mergeCell ref="D53:D56"/>
    <mergeCell ref="B60:H60"/>
    <mergeCell ref="D61:D65"/>
    <mergeCell ref="F61:F65"/>
    <mergeCell ref="D66:D68"/>
    <mergeCell ref="E66:E68"/>
    <mergeCell ref="H66:H68"/>
    <mergeCell ref="A72:A75"/>
    <mergeCell ref="B73:B74"/>
    <mergeCell ref="B75:H75"/>
    <mergeCell ref="A76:A80"/>
    <mergeCell ref="B77:B79"/>
    <mergeCell ref="B80:H80"/>
    <mergeCell ref="I97:I99"/>
    <mergeCell ref="I101:I102"/>
  </mergeCells>
  <drawing r:id="rId1"/>
</worksheet>
</file>